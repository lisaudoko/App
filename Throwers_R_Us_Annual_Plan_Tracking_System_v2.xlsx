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MV\Desktop\"/>
    </mc:Choice>
  </mc:AlternateContent>
  <xr:revisionPtr revIDLastSave="0" documentId="13_ncr:1_{F83A282A-D9E9-4B5E-A1C5-6DD257B0FCDC}" xr6:coauthVersionLast="47" xr6:coauthVersionMax="47" xr10:uidLastSave="{00000000-0000-0000-0000-000000000000}"/>
  <bookViews>
    <workbookView xWindow="-110" yWindow="-110" windowWidth="19420" windowHeight="10300" tabRatio="500" firstSheet="12" activeTab="15" xr2:uid="{00000000-000D-0000-FFFF-FFFF00000000}"/>
  </bookViews>
  <sheets>
    <sheet name="Instructions" sheetId="1" r:id="rId1"/>
    <sheet name="Lists" sheetId="2" r:id="rId2"/>
    <sheet name="Athletes" sheetId="3" r:id="rId3"/>
    <sheet name="Annual Plan" sheetId="4" r:id="rId4"/>
    <sheet name="Meet Schedule" sheetId="5" r:id="rId5"/>
    <sheet name="Weekly Results" sheetId="6" r:id="rId6"/>
    <sheet name="Athlete Report" sheetId="7" r:id="rId7"/>
    <sheet name="Monthly Summary" sheetId="8" r:id="rId8"/>
    <sheet name="Squad Overview" sheetId="9" r:id="rId9"/>
    <sheet name="Set % Engine" sheetId="10" r:id="rId10"/>
    <sheet name="Max Master" sheetId="11" r:id="rId11"/>
    <sheet name="Workout Generator" sheetId="12" r:id="rId12"/>
    <sheet name="Group Weekly Plan" sheetId="13" r:id="rId13"/>
    <sheet name="LIFTS" sheetId="14" r:id="rId14"/>
    <sheet name="TestWeek Sched" sheetId="15" r:id="rId15"/>
    <sheet name="Sample format" sheetId="16" r:id="rId16"/>
  </sheets>
  <externalReferences>
    <externalReference r:id="rId17"/>
    <externalReference r:id="rId18"/>
    <externalReference r:id="rId19"/>
    <externalReference r:id="rId20"/>
  </externalReferences>
  <definedNames>
    <definedName name="_5x5__ages" localSheetId="15">#REF!</definedName>
    <definedName name="_5x5__ages">#REF!</definedName>
    <definedName name="AthleteIDs">Athletes!$A$2:$A$40</definedName>
    <definedName name="BarWeight">[2]Questions!$C$7</definedName>
    <definedName name="BBBPercentage">[2]Questions!$C$11</definedName>
    <definedName name="Category" localSheetId="15">#REF!</definedName>
    <definedName name="Category">#REF!</definedName>
    <definedName name="DayFour">[2]Questions!$R$11</definedName>
    <definedName name="DayOne">[2]Questions!$R$8</definedName>
    <definedName name="DayThree">[2]Questions!$R$10</definedName>
    <definedName name="DayTwo">[2]Questions!$R$9</definedName>
    <definedName name="EventsList">Lists!$B$2:$B$5</definedName>
    <definedName name="ExFour">[2]Questions!$C$18</definedName>
    <definedName name="ExOne">[2]Questions!$C$15</definedName>
    <definedName name="ExThree">[2]Questions!$C$17</definedName>
    <definedName name="ExTwo">[2]Questions!$C$16</definedName>
    <definedName name="IncrFour">[2]Questions!$C$31</definedName>
    <definedName name="IncrOne">[2]Questions!$C$28</definedName>
    <definedName name="IncrThree">[2]Questions!$C$30</definedName>
    <definedName name="IncrTwo">[2]Questions!$C$29</definedName>
    <definedName name="LiftsList">Lists!$F$2:$F$16</definedName>
    <definedName name="MaxNames">'Max Master'!$B$4:$B$43</definedName>
    <definedName name="Names" localSheetId="15">#REF!</definedName>
    <definedName name="Names">#REF!</definedName>
    <definedName name="PERCENTAGES">[3]Categories!#REF!</definedName>
    <definedName name="_xlnm.Print_Area" localSheetId="15">'Sample format'!$A$1:$H$30</definedName>
    <definedName name="_xlnm.Print_Area" localSheetId="14">'TestWeek Sched'!$B$1:$G$8</definedName>
    <definedName name="RMFour">[2]Questions!$I$24</definedName>
    <definedName name="RMOne">[2]Questions!$I$21</definedName>
    <definedName name="RMThree">[2]Questions!$I$23</definedName>
    <definedName name="RMTwo">[2]Questions!$I$22</definedName>
    <definedName name="Rounding">[2]Questions!$C$9</definedName>
    <definedName name="SetRep">[3]Categories!$R$3:$R$59</definedName>
    <definedName name="SetxRep">[3]Categories!#REF!</definedName>
    <definedName name="StatusList">Lists!$D$2:$D$4</definedName>
    <definedName name="TblSetRep">[3]Categories!#REF!</definedName>
    <definedName name="TeamsList">Lists!$A$2:$A$7</definedName>
    <definedName name="TEST1" localSheetId="15">#REF!</definedName>
    <definedName name="TEST1">#REF!</definedName>
    <definedName name="WeightFormat">[2]Questions!$E$8</definedName>
    <definedName name="YNList">Lists!$C$2:$C$3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33" i="16" l="1"/>
  <c r="O33" i="16" s="1"/>
  <c r="L33" i="16"/>
  <c r="N33" i="16" s="1"/>
  <c r="K33" i="16"/>
  <c r="G33" i="16"/>
  <c r="F33" i="16"/>
  <c r="E33" i="16"/>
  <c r="P33" i="16" s="1"/>
  <c r="C33" i="16"/>
  <c r="B33" i="16"/>
  <c r="D33" i="16" s="1"/>
  <c r="A33" i="16"/>
  <c r="E16" i="16"/>
  <c r="C16" i="16"/>
  <c r="B16" i="16"/>
  <c r="E5" i="16"/>
  <c r="C5" i="16"/>
  <c r="E4" i="16"/>
  <c r="C4" i="16"/>
  <c r="B4" i="16"/>
  <c r="B3" i="16"/>
  <c r="H2" i="16"/>
  <c r="H3" i="16" s="1"/>
  <c r="E2" i="16"/>
  <c r="I33" i="16" l="1"/>
  <c r="J33" i="16"/>
  <c r="H33" i="16"/>
  <c r="C47" i="12" l="1"/>
  <c r="C46" i="12"/>
  <c r="E45" i="12"/>
  <c r="C45" i="12"/>
  <c r="E44" i="12"/>
  <c r="C44" i="12"/>
  <c r="E43" i="12"/>
  <c r="C43" i="12"/>
  <c r="C41" i="12"/>
  <c r="C40" i="12"/>
  <c r="C39" i="12"/>
  <c r="C38" i="12"/>
  <c r="C37" i="12"/>
  <c r="E29" i="12"/>
  <c r="C29" i="12"/>
  <c r="C28" i="12"/>
  <c r="E27" i="12"/>
  <c r="C27" i="12"/>
  <c r="C26" i="12"/>
  <c r="E25" i="12"/>
  <c r="C25" i="12"/>
  <c r="E17" i="12"/>
  <c r="E16" i="12"/>
  <c r="E15" i="12"/>
  <c r="E14" i="12"/>
  <c r="E13" i="12"/>
  <c r="E10" i="12"/>
  <c r="D10" i="12"/>
  <c r="C10" i="12"/>
  <c r="B10" i="12"/>
  <c r="E9" i="12"/>
  <c r="D9" i="12"/>
  <c r="C9" i="12"/>
  <c r="B9" i="12"/>
  <c r="G6" i="12"/>
  <c r="E47" i="12" s="1"/>
  <c r="F6" i="12"/>
  <c r="E6" i="12"/>
  <c r="D53" i="12" s="1"/>
  <c r="D6" i="12"/>
  <c r="C6" i="12"/>
  <c r="E53" i="12" s="1"/>
  <c r="B6" i="12"/>
  <c r="E59" i="12" s="1"/>
  <c r="R43" i="11"/>
  <c r="Q43" i="11"/>
  <c r="O43" i="11"/>
  <c r="N43" i="11"/>
  <c r="M43" i="11"/>
  <c r="L43" i="11"/>
  <c r="P43" i="11" s="1"/>
  <c r="K43" i="11"/>
  <c r="J43" i="11"/>
  <c r="R42" i="11"/>
  <c r="Q42" i="11"/>
  <c r="O42" i="11"/>
  <c r="N42" i="11"/>
  <c r="M42" i="11"/>
  <c r="L42" i="11"/>
  <c r="P42" i="11" s="1"/>
  <c r="K42" i="11"/>
  <c r="J42" i="11"/>
  <c r="R41" i="11"/>
  <c r="Q41" i="11"/>
  <c r="O41" i="11"/>
  <c r="N41" i="11"/>
  <c r="M41" i="11"/>
  <c r="L41" i="11"/>
  <c r="P41" i="11" s="1"/>
  <c r="K41" i="11"/>
  <c r="J41" i="11"/>
  <c r="R40" i="11"/>
  <c r="Q40" i="11"/>
  <c r="O40" i="11"/>
  <c r="N40" i="11"/>
  <c r="M40" i="11"/>
  <c r="L40" i="11"/>
  <c r="P40" i="11" s="1"/>
  <c r="K40" i="11"/>
  <c r="J40" i="11"/>
  <c r="R39" i="11"/>
  <c r="Q39" i="11"/>
  <c r="O39" i="11"/>
  <c r="N39" i="11"/>
  <c r="M39" i="11"/>
  <c r="L39" i="11"/>
  <c r="P39" i="11" s="1"/>
  <c r="K39" i="11"/>
  <c r="J39" i="11"/>
  <c r="R38" i="11"/>
  <c r="Q38" i="11"/>
  <c r="O38" i="11"/>
  <c r="N38" i="11"/>
  <c r="M38" i="11"/>
  <c r="L38" i="11"/>
  <c r="P38" i="11" s="1"/>
  <c r="K38" i="11"/>
  <c r="J38" i="11"/>
  <c r="R37" i="11"/>
  <c r="Q37" i="11"/>
  <c r="O37" i="11"/>
  <c r="N37" i="11"/>
  <c r="M37" i="11"/>
  <c r="L37" i="11"/>
  <c r="P37" i="11" s="1"/>
  <c r="K37" i="11"/>
  <c r="J37" i="11"/>
  <c r="R36" i="11"/>
  <c r="Q36" i="11"/>
  <c r="O36" i="11"/>
  <c r="N36" i="11"/>
  <c r="M36" i="11"/>
  <c r="L36" i="11"/>
  <c r="P36" i="11" s="1"/>
  <c r="K36" i="11"/>
  <c r="J36" i="11"/>
  <c r="R35" i="11"/>
  <c r="Q35" i="11"/>
  <c r="O35" i="11"/>
  <c r="N35" i="11"/>
  <c r="M35" i="11"/>
  <c r="L35" i="11"/>
  <c r="P35" i="11" s="1"/>
  <c r="K35" i="11"/>
  <c r="J35" i="11"/>
  <c r="R34" i="11"/>
  <c r="Q34" i="11"/>
  <c r="O34" i="11"/>
  <c r="N34" i="11"/>
  <c r="M34" i="11"/>
  <c r="L34" i="11"/>
  <c r="P34" i="11" s="1"/>
  <c r="K34" i="11"/>
  <c r="J34" i="11"/>
  <c r="R33" i="11"/>
  <c r="Q33" i="11"/>
  <c r="O33" i="11"/>
  <c r="N33" i="11"/>
  <c r="M33" i="11"/>
  <c r="L33" i="11"/>
  <c r="P33" i="11" s="1"/>
  <c r="K33" i="11"/>
  <c r="J33" i="11"/>
  <c r="R32" i="11"/>
  <c r="Q32" i="11"/>
  <c r="O32" i="11"/>
  <c r="N32" i="11"/>
  <c r="M32" i="11"/>
  <c r="L32" i="11"/>
  <c r="P32" i="11" s="1"/>
  <c r="K32" i="11"/>
  <c r="J32" i="11"/>
  <c r="R31" i="11"/>
  <c r="Q31" i="11"/>
  <c r="O31" i="11"/>
  <c r="N31" i="11"/>
  <c r="M31" i="11"/>
  <c r="L31" i="11"/>
  <c r="P31" i="11" s="1"/>
  <c r="K31" i="11"/>
  <c r="J31" i="11"/>
  <c r="R30" i="11"/>
  <c r="Q30" i="11"/>
  <c r="O30" i="11"/>
  <c r="N30" i="11"/>
  <c r="M30" i="11"/>
  <c r="L30" i="11"/>
  <c r="P30" i="11" s="1"/>
  <c r="K30" i="11"/>
  <c r="J30" i="11"/>
  <c r="R29" i="11"/>
  <c r="Q29" i="11"/>
  <c r="O29" i="11"/>
  <c r="N29" i="11"/>
  <c r="M29" i="11"/>
  <c r="L29" i="11"/>
  <c r="P29" i="11" s="1"/>
  <c r="K29" i="11"/>
  <c r="J29" i="11"/>
  <c r="R28" i="11"/>
  <c r="Q28" i="11"/>
  <c r="O28" i="11"/>
  <c r="N28" i="11"/>
  <c r="M28" i="11"/>
  <c r="L28" i="11"/>
  <c r="P28" i="11" s="1"/>
  <c r="K28" i="11"/>
  <c r="J28" i="11"/>
  <c r="R27" i="11"/>
  <c r="Q27" i="11"/>
  <c r="O27" i="11"/>
  <c r="N27" i="11"/>
  <c r="M27" i="11"/>
  <c r="L27" i="11"/>
  <c r="P27" i="11" s="1"/>
  <c r="K27" i="11"/>
  <c r="J27" i="11"/>
  <c r="R26" i="11"/>
  <c r="Q26" i="11"/>
  <c r="O26" i="11"/>
  <c r="N26" i="11"/>
  <c r="M26" i="11"/>
  <c r="L26" i="11"/>
  <c r="P26" i="11" s="1"/>
  <c r="K26" i="11"/>
  <c r="J26" i="11"/>
  <c r="R25" i="11"/>
  <c r="Q25" i="11"/>
  <c r="O25" i="11"/>
  <c r="N25" i="11"/>
  <c r="M25" i="11"/>
  <c r="L25" i="11"/>
  <c r="P25" i="11" s="1"/>
  <c r="K25" i="11"/>
  <c r="J25" i="11"/>
  <c r="R24" i="11"/>
  <c r="Q24" i="11"/>
  <c r="O24" i="11"/>
  <c r="N24" i="11"/>
  <c r="M24" i="11"/>
  <c r="L24" i="11"/>
  <c r="P24" i="11" s="1"/>
  <c r="K24" i="11"/>
  <c r="J24" i="11"/>
  <c r="R23" i="11"/>
  <c r="Q23" i="11"/>
  <c r="O23" i="11"/>
  <c r="N23" i="11"/>
  <c r="M23" i="11"/>
  <c r="L23" i="11"/>
  <c r="P23" i="11" s="1"/>
  <c r="K23" i="11"/>
  <c r="J23" i="11"/>
  <c r="R22" i="11"/>
  <c r="Q22" i="11"/>
  <c r="O22" i="11"/>
  <c r="N22" i="11"/>
  <c r="M22" i="11"/>
  <c r="L22" i="11"/>
  <c r="P22" i="11" s="1"/>
  <c r="K22" i="11"/>
  <c r="J22" i="11"/>
  <c r="R21" i="11"/>
  <c r="Q21" i="11"/>
  <c r="O21" i="11"/>
  <c r="N21" i="11"/>
  <c r="M21" i="11"/>
  <c r="L21" i="11"/>
  <c r="P21" i="11" s="1"/>
  <c r="K21" i="11"/>
  <c r="J21" i="11"/>
  <c r="R20" i="11"/>
  <c r="Q20" i="11"/>
  <c r="O20" i="11"/>
  <c r="N20" i="11"/>
  <c r="M20" i="11"/>
  <c r="L20" i="11"/>
  <c r="P20" i="11" s="1"/>
  <c r="K20" i="11"/>
  <c r="J20" i="11"/>
  <c r="R19" i="11"/>
  <c r="Q19" i="11"/>
  <c r="O19" i="11"/>
  <c r="N19" i="11"/>
  <c r="M19" i="11"/>
  <c r="L19" i="11"/>
  <c r="P19" i="11" s="1"/>
  <c r="K19" i="11"/>
  <c r="J19" i="11"/>
  <c r="R18" i="11"/>
  <c r="Q18" i="11"/>
  <c r="O18" i="11"/>
  <c r="N18" i="11"/>
  <c r="M18" i="11"/>
  <c r="L18" i="11"/>
  <c r="P18" i="11" s="1"/>
  <c r="K18" i="11"/>
  <c r="J18" i="11"/>
  <c r="R17" i="11"/>
  <c r="Q17" i="11"/>
  <c r="O17" i="11"/>
  <c r="N17" i="11"/>
  <c r="M17" i="11"/>
  <c r="L17" i="11"/>
  <c r="P17" i="11" s="1"/>
  <c r="K17" i="11"/>
  <c r="J17" i="11"/>
  <c r="R16" i="11"/>
  <c r="Q16" i="11"/>
  <c r="O16" i="11"/>
  <c r="N16" i="11"/>
  <c r="M16" i="11"/>
  <c r="L16" i="11"/>
  <c r="P16" i="11" s="1"/>
  <c r="K16" i="11"/>
  <c r="J16" i="11"/>
  <c r="R15" i="11"/>
  <c r="Q15" i="11"/>
  <c r="O15" i="11"/>
  <c r="N15" i="11"/>
  <c r="M15" i="11"/>
  <c r="L15" i="11"/>
  <c r="P15" i="11" s="1"/>
  <c r="K15" i="11"/>
  <c r="J15" i="11"/>
  <c r="R14" i="11"/>
  <c r="Q14" i="11"/>
  <c r="O14" i="11"/>
  <c r="N14" i="11"/>
  <c r="M14" i="11"/>
  <c r="L14" i="11"/>
  <c r="P14" i="11" s="1"/>
  <c r="K14" i="11"/>
  <c r="J14" i="11"/>
  <c r="R13" i="11"/>
  <c r="Q13" i="11"/>
  <c r="O13" i="11"/>
  <c r="N13" i="11"/>
  <c r="M13" i="11"/>
  <c r="L13" i="11"/>
  <c r="P13" i="11" s="1"/>
  <c r="K13" i="11"/>
  <c r="J13" i="11"/>
  <c r="R12" i="11"/>
  <c r="Q12" i="11"/>
  <c r="O12" i="11"/>
  <c r="N12" i="11"/>
  <c r="M12" i="11"/>
  <c r="L12" i="11"/>
  <c r="P12" i="11" s="1"/>
  <c r="K12" i="11"/>
  <c r="J12" i="11"/>
  <c r="R11" i="11"/>
  <c r="Q11" i="11"/>
  <c r="O11" i="11"/>
  <c r="N11" i="11"/>
  <c r="M11" i="11"/>
  <c r="L11" i="11"/>
  <c r="P11" i="11" s="1"/>
  <c r="K11" i="11"/>
  <c r="J11" i="11"/>
  <c r="R10" i="11"/>
  <c r="Q10" i="11"/>
  <c r="O10" i="11"/>
  <c r="N10" i="11"/>
  <c r="M10" i="11"/>
  <c r="L10" i="11"/>
  <c r="P10" i="11" s="1"/>
  <c r="K10" i="11"/>
  <c r="J10" i="11"/>
  <c r="R9" i="11"/>
  <c r="Q9" i="11"/>
  <c r="O9" i="11"/>
  <c r="N9" i="11"/>
  <c r="M9" i="11"/>
  <c r="L9" i="11"/>
  <c r="P9" i="11" s="1"/>
  <c r="K9" i="11"/>
  <c r="J9" i="11"/>
  <c r="R8" i="11"/>
  <c r="Q8" i="11"/>
  <c r="O8" i="11"/>
  <c r="N8" i="11"/>
  <c r="M8" i="11"/>
  <c r="L8" i="11"/>
  <c r="P8" i="11" s="1"/>
  <c r="K8" i="11"/>
  <c r="J8" i="11"/>
  <c r="R7" i="11"/>
  <c r="Q7" i="11"/>
  <c r="O7" i="11"/>
  <c r="N7" i="11"/>
  <c r="M7" i="11"/>
  <c r="L7" i="11"/>
  <c r="P7" i="11" s="1"/>
  <c r="K7" i="11"/>
  <c r="J7" i="11"/>
  <c r="R6" i="11"/>
  <c r="Q6" i="11"/>
  <c r="O6" i="11"/>
  <c r="N6" i="11"/>
  <c r="M6" i="11"/>
  <c r="L6" i="11"/>
  <c r="P6" i="11" s="1"/>
  <c r="K6" i="11"/>
  <c r="J6" i="11"/>
  <c r="R5" i="11"/>
  <c r="Q5" i="11"/>
  <c r="O5" i="11"/>
  <c r="N5" i="11"/>
  <c r="M5" i="11"/>
  <c r="L5" i="11"/>
  <c r="P5" i="11" s="1"/>
  <c r="K5" i="11"/>
  <c r="J5" i="11"/>
  <c r="R4" i="11"/>
  <c r="P6" i="12" s="1"/>
  <c r="Q4" i="11"/>
  <c r="O6" i="12" s="1"/>
  <c r="O4" i="11"/>
  <c r="M6" i="12" s="1"/>
  <c r="N4" i="11"/>
  <c r="L6" i="12" s="1"/>
  <c r="M4" i="11"/>
  <c r="K6" i="12" s="1"/>
  <c r="E21" i="12" s="1"/>
  <c r="L4" i="11"/>
  <c r="J6" i="12" s="1"/>
  <c r="K4" i="11"/>
  <c r="I6" i="12" s="1"/>
  <c r="J4" i="11"/>
  <c r="H6" i="12" s="1"/>
  <c r="A43" i="9"/>
  <c r="J42" i="9"/>
  <c r="I42" i="9"/>
  <c r="E42" i="9"/>
  <c r="C42" i="9"/>
  <c r="B42" i="9"/>
  <c r="A42" i="9"/>
  <c r="J41" i="9"/>
  <c r="I41" i="9"/>
  <c r="E41" i="9"/>
  <c r="C41" i="9"/>
  <c r="A41" i="9"/>
  <c r="A40" i="9"/>
  <c r="B39" i="9"/>
  <c r="A39" i="9"/>
  <c r="J38" i="9"/>
  <c r="I38" i="9"/>
  <c r="E38" i="9"/>
  <c r="C38" i="9"/>
  <c r="B38" i="9"/>
  <c r="A38" i="9"/>
  <c r="J37" i="9"/>
  <c r="I37" i="9"/>
  <c r="E37" i="9"/>
  <c r="C37" i="9"/>
  <c r="A37" i="9"/>
  <c r="J36" i="9"/>
  <c r="A36" i="9"/>
  <c r="A35" i="9"/>
  <c r="A34" i="9"/>
  <c r="H33" i="9"/>
  <c r="E33" i="9"/>
  <c r="A33" i="9"/>
  <c r="A32" i="9"/>
  <c r="H31" i="9"/>
  <c r="E31" i="9"/>
  <c r="A31" i="9"/>
  <c r="A30" i="9"/>
  <c r="H29" i="9"/>
  <c r="E29" i="9"/>
  <c r="A29" i="9"/>
  <c r="I28" i="9"/>
  <c r="E28" i="9"/>
  <c r="D28" i="9"/>
  <c r="A28" i="9"/>
  <c r="J27" i="9"/>
  <c r="E27" i="9"/>
  <c r="A27" i="9"/>
  <c r="A26" i="9"/>
  <c r="J25" i="9"/>
  <c r="I25" i="9"/>
  <c r="H25" i="9"/>
  <c r="E25" i="9"/>
  <c r="D25" i="9"/>
  <c r="B25" i="9"/>
  <c r="A25" i="9"/>
  <c r="J24" i="9"/>
  <c r="I24" i="9"/>
  <c r="E24" i="9"/>
  <c r="D24" i="9"/>
  <c r="A24" i="9"/>
  <c r="J23" i="9"/>
  <c r="E23" i="9"/>
  <c r="A23" i="9"/>
  <c r="A22" i="9"/>
  <c r="J21" i="9"/>
  <c r="I21" i="9"/>
  <c r="H21" i="9"/>
  <c r="E21" i="9"/>
  <c r="D21" i="9"/>
  <c r="B21" i="9"/>
  <c r="A21" i="9"/>
  <c r="J20" i="9"/>
  <c r="I20" i="9"/>
  <c r="E20" i="9"/>
  <c r="D20" i="9"/>
  <c r="A20" i="9"/>
  <c r="J19" i="9"/>
  <c r="E19" i="9"/>
  <c r="A19" i="9"/>
  <c r="A18" i="9"/>
  <c r="J17" i="9"/>
  <c r="I17" i="9"/>
  <c r="H17" i="9"/>
  <c r="E17" i="9"/>
  <c r="D17" i="9"/>
  <c r="B17" i="9"/>
  <c r="A17" i="9"/>
  <c r="A16" i="9"/>
  <c r="K16" i="9" s="1"/>
  <c r="A15" i="9"/>
  <c r="H15" i="9" s="1"/>
  <c r="A14" i="9"/>
  <c r="H14" i="9" s="1"/>
  <c r="A13" i="9"/>
  <c r="H13" i="9" s="1"/>
  <c r="A12" i="9"/>
  <c r="H12" i="9" s="1"/>
  <c r="A11" i="9"/>
  <c r="H11" i="9" s="1"/>
  <c r="A10" i="9"/>
  <c r="H10" i="9" s="1"/>
  <c r="A9" i="9"/>
  <c r="H9" i="9" s="1"/>
  <c r="A8" i="9"/>
  <c r="H8" i="9" s="1"/>
  <c r="A7" i="9"/>
  <c r="H7" i="9" s="1"/>
  <c r="A6" i="9"/>
  <c r="H6" i="9" s="1"/>
  <c r="A5" i="9"/>
  <c r="H5" i="9" s="1"/>
  <c r="A4" i="9"/>
  <c r="H4" i="9" s="1"/>
  <c r="C17" i="8"/>
  <c r="I17" i="8" s="1"/>
  <c r="C16" i="8"/>
  <c r="I16" i="8" s="1"/>
  <c r="I15" i="8"/>
  <c r="G15" i="8" s="1"/>
  <c r="E15" i="8"/>
  <c r="C15" i="8"/>
  <c r="C14" i="8"/>
  <c r="I14" i="8" s="1"/>
  <c r="H14" i="8" s="1"/>
  <c r="C13" i="8"/>
  <c r="I13" i="8" s="1"/>
  <c r="C12" i="8"/>
  <c r="I12" i="8" s="1"/>
  <c r="I11" i="8"/>
  <c r="G11" i="8" s="1"/>
  <c r="D11" i="8"/>
  <c r="C11" i="8"/>
  <c r="C10" i="8"/>
  <c r="I10" i="8" s="1"/>
  <c r="C9" i="8"/>
  <c r="I9" i="8" s="1"/>
  <c r="E9" i="8" s="1"/>
  <c r="C8" i="8"/>
  <c r="I8" i="8" s="1"/>
  <c r="I7" i="8"/>
  <c r="G7" i="8" s="1"/>
  <c r="H7" i="8"/>
  <c r="F7" i="8"/>
  <c r="D7" i="8"/>
  <c r="C7" i="8"/>
  <c r="I6" i="8"/>
  <c r="F6" i="8" s="1"/>
  <c r="D6" i="8"/>
  <c r="C6" i="8"/>
  <c r="C3" i="8"/>
  <c r="E33" i="7"/>
  <c r="D33" i="7"/>
  <c r="C33" i="7"/>
  <c r="B33" i="7"/>
  <c r="E32" i="7"/>
  <c r="D32" i="7"/>
  <c r="C32" i="7"/>
  <c r="B32" i="7"/>
  <c r="E31" i="7"/>
  <c r="D31" i="7"/>
  <c r="C31" i="7"/>
  <c r="B31" i="7"/>
  <c r="E30" i="7"/>
  <c r="D30" i="7"/>
  <c r="C30" i="7"/>
  <c r="B30" i="7"/>
  <c r="E29" i="7"/>
  <c r="D29" i="7"/>
  <c r="C29" i="7"/>
  <c r="B29" i="7"/>
  <c r="E28" i="7"/>
  <c r="D28" i="7"/>
  <c r="C28" i="7"/>
  <c r="B28" i="7"/>
  <c r="E27" i="7"/>
  <c r="D27" i="7"/>
  <c r="C27" i="7"/>
  <c r="B27" i="7"/>
  <c r="E26" i="7"/>
  <c r="D26" i="7"/>
  <c r="C26" i="7"/>
  <c r="B26" i="7"/>
  <c r="E25" i="7"/>
  <c r="D25" i="7"/>
  <c r="C25" i="7"/>
  <c r="B25" i="7"/>
  <c r="E24" i="7"/>
  <c r="D24" i="7"/>
  <c r="C24" i="7"/>
  <c r="B24" i="7"/>
  <c r="E23" i="7"/>
  <c r="D23" i="7"/>
  <c r="C23" i="7"/>
  <c r="B23" i="7"/>
  <c r="E22" i="7"/>
  <c r="D22" i="7"/>
  <c r="C22" i="7"/>
  <c r="B22" i="7"/>
  <c r="E21" i="7"/>
  <c r="D21" i="7"/>
  <c r="C21" i="7"/>
  <c r="B21" i="7"/>
  <c r="E20" i="7"/>
  <c r="D20" i="7"/>
  <c r="C20" i="7"/>
  <c r="B20" i="7"/>
  <c r="E19" i="7"/>
  <c r="D19" i="7"/>
  <c r="C19" i="7"/>
  <c r="B19" i="7"/>
  <c r="E18" i="7"/>
  <c r="D18" i="7"/>
  <c r="C18" i="7"/>
  <c r="B18" i="7"/>
  <c r="I13" i="7"/>
  <c r="H13" i="7"/>
  <c r="G13" i="7"/>
  <c r="I12" i="7"/>
  <c r="H12" i="7"/>
  <c r="G12" i="7"/>
  <c r="I11" i="7"/>
  <c r="H11" i="7"/>
  <c r="G11" i="7"/>
  <c r="I10" i="7"/>
  <c r="H10" i="7"/>
  <c r="G10" i="7"/>
  <c r="B7" i="7"/>
  <c r="C13" i="7" s="1"/>
  <c r="B6" i="7"/>
  <c r="B5" i="7"/>
  <c r="B4" i="7"/>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H8" i="8" l="1"/>
  <c r="D8" i="8"/>
  <c r="E8" i="8"/>
  <c r="G8" i="8"/>
  <c r="F8" i="8"/>
  <c r="F10" i="8"/>
  <c r="G10" i="8"/>
  <c r="E10" i="8"/>
  <c r="D10" i="8"/>
  <c r="H10" i="8"/>
  <c r="H12" i="8"/>
  <c r="D12" i="8"/>
  <c r="G12" i="8"/>
  <c r="F12" i="8"/>
  <c r="E12" i="8"/>
  <c r="E6" i="8"/>
  <c r="D9" i="8"/>
  <c r="E11" i="8"/>
  <c r="E13" i="8"/>
  <c r="H13" i="8"/>
  <c r="D13" i="8"/>
  <c r="D14" i="8"/>
  <c r="B10" i="7"/>
  <c r="B11" i="7"/>
  <c r="B12" i="7"/>
  <c r="B13" i="7"/>
  <c r="G6" i="8"/>
  <c r="F9" i="8"/>
  <c r="F11" i="8"/>
  <c r="F13" i="8"/>
  <c r="H16" i="8"/>
  <c r="D16" i="8"/>
  <c r="G16" i="8"/>
  <c r="F16" i="8"/>
  <c r="E16" i="8"/>
  <c r="C10" i="7"/>
  <c r="C11" i="7"/>
  <c r="C12" i="7"/>
  <c r="H6" i="8"/>
  <c r="E7" i="8"/>
  <c r="G9" i="8"/>
  <c r="H11" i="8"/>
  <c r="G13" i="8"/>
  <c r="E17" i="8"/>
  <c r="H17" i="8"/>
  <c r="D17" i="8"/>
  <c r="G17" i="8"/>
  <c r="F17" i="8"/>
  <c r="H9" i="8"/>
  <c r="F14" i="8"/>
  <c r="E14" i="8"/>
  <c r="G14" i="8"/>
  <c r="D65" i="12"/>
  <c r="D64" i="12"/>
  <c r="D63" i="12"/>
  <c r="D62" i="12"/>
  <c r="D61" i="12"/>
  <c r="D15" i="8"/>
  <c r="H15" i="8"/>
  <c r="E4" i="9"/>
  <c r="F4" i="9" s="1"/>
  <c r="L4" i="9" s="1"/>
  <c r="I4" i="9"/>
  <c r="E5" i="9"/>
  <c r="I5" i="9"/>
  <c r="E6" i="9"/>
  <c r="G6" i="9" s="1"/>
  <c r="I6" i="9"/>
  <c r="E7" i="9"/>
  <c r="G7" i="9" s="1"/>
  <c r="I7" i="9"/>
  <c r="E8" i="9"/>
  <c r="F8" i="9" s="1"/>
  <c r="L8" i="9" s="1"/>
  <c r="I8" i="9"/>
  <c r="E9" i="9"/>
  <c r="I9" i="9"/>
  <c r="E10" i="9"/>
  <c r="G10" i="9" s="1"/>
  <c r="I10" i="9"/>
  <c r="E11" i="9"/>
  <c r="G11" i="9" s="1"/>
  <c r="I11" i="9"/>
  <c r="E12" i="9"/>
  <c r="F12" i="9" s="1"/>
  <c r="L12" i="9" s="1"/>
  <c r="I12" i="9"/>
  <c r="E13" i="9"/>
  <c r="I13" i="9"/>
  <c r="E14" i="9"/>
  <c r="G14" i="9" s="1"/>
  <c r="I14" i="9"/>
  <c r="E15" i="9"/>
  <c r="G15" i="9" s="1"/>
  <c r="I15" i="9"/>
  <c r="E16" i="9"/>
  <c r="F16" i="9" s="1"/>
  <c r="L16" i="9" s="1"/>
  <c r="I16" i="9"/>
  <c r="K18" i="9"/>
  <c r="C18" i="9"/>
  <c r="K22" i="9"/>
  <c r="G22" i="9"/>
  <c r="C22" i="9"/>
  <c r="K26" i="9"/>
  <c r="C26" i="9"/>
  <c r="K30" i="9"/>
  <c r="G30" i="9"/>
  <c r="C30" i="9"/>
  <c r="J30" i="9"/>
  <c r="F30" i="9"/>
  <c r="L30" i="9" s="1"/>
  <c r="B30" i="9"/>
  <c r="I30" i="9"/>
  <c r="K32" i="9"/>
  <c r="C32" i="9"/>
  <c r="J32" i="9"/>
  <c r="B32" i="9"/>
  <c r="I32" i="9"/>
  <c r="K34" i="9"/>
  <c r="C34" i="9"/>
  <c r="J34" i="9"/>
  <c r="F34" i="9"/>
  <c r="L34" i="9" s="1"/>
  <c r="B34" i="9"/>
  <c r="I34" i="9"/>
  <c r="H40" i="9"/>
  <c r="D40" i="9"/>
  <c r="I40" i="9"/>
  <c r="C40" i="9"/>
  <c r="B40" i="9"/>
  <c r="K40" i="9"/>
  <c r="D29" i="12"/>
  <c r="D28" i="12"/>
  <c r="D27" i="12"/>
  <c r="D26" i="12"/>
  <c r="D25" i="12"/>
  <c r="B65" i="12"/>
  <c r="B64" i="12"/>
  <c r="B63" i="12"/>
  <c r="B62" i="12"/>
  <c r="B61" i="12"/>
  <c r="B29" i="12"/>
  <c r="B28" i="12"/>
  <c r="B27" i="12"/>
  <c r="B26" i="12"/>
  <c r="B25" i="12"/>
  <c r="E33" i="12"/>
  <c r="E32" i="12"/>
  <c r="E35" i="12"/>
  <c r="B4" i="9"/>
  <c r="J4" i="9"/>
  <c r="B5" i="9"/>
  <c r="F5" i="9"/>
  <c r="L5" i="9" s="1"/>
  <c r="J5" i="9"/>
  <c r="B6" i="9"/>
  <c r="J6" i="9"/>
  <c r="B7" i="9"/>
  <c r="F7" i="9"/>
  <c r="L7" i="9" s="1"/>
  <c r="J7" i="9"/>
  <c r="B8" i="9"/>
  <c r="J8" i="9"/>
  <c r="B9" i="9"/>
  <c r="F9" i="9"/>
  <c r="L9" i="9" s="1"/>
  <c r="J9" i="9"/>
  <c r="B10" i="9"/>
  <c r="J10" i="9"/>
  <c r="B11" i="9"/>
  <c r="F11" i="9"/>
  <c r="L11" i="9" s="1"/>
  <c r="J11" i="9"/>
  <c r="B12" i="9"/>
  <c r="J12" i="9"/>
  <c r="B13" i="9"/>
  <c r="F13" i="9"/>
  <c r="L13" i="9" s="1"/>
  <c r="J13" i="9"/>
  <c r="B14" i="9"/>
  <c r="J14" i="9"/>
  <c r="B15" i="9"/>
  <c r="F15" i="9"/>
  <c r="L15" i="9" s="1"/>
  <c r="J15" i="9"/>
  <c r="B16" i="9"/>
  <c r="J16" i="9"/>
  <c r="B18" i="9"/>
  <c r="H18" i="9"/>
  <c r="K19" i="9"/>
  <c r="C19" i="9"/>
  <c r="F19" i="9"/>
  <c r="L19" i="9" s="1"/>
  <c r="B22" i="9"/>
  <c r="H22" i="9"/>
  <c r="K23" i="9"/>
  <c r="C23" i="9"/>
  <c r="B26" i="9"/>
  <c r="H26" i="9"/>
  <c r="K27" i="9"/>
  <c r="C27" i="9"/>
  <c r="F27" i="9"/>
  <c r="L27" i="9" s="1"/>
  <c r="D30" i="9"/>
  <c r="D32" i="9"/>
  <c r="G32" i="9" s="1"/>
  <c r="D34" i="9"/>
  <c r="H35" i="9"/>
  <c r="D35" i="9"/>
  <c r="J35" i="9"/>
  <c r="E35" i="9"/>
  <c r="G35" i="9" s="1"/>
  <c r="I35" i="9"/>
  <c r="C35" i="9"/>
  <c r="K35" i="9"/>
  <c r="E40" i="9"/>
  <c r="F40" i="9" s="1"/>
  <c r="L40" i="9" s="1"/>
  <c r="H43" i="9"/>
  <c r="D43" i="9"/>
  <c r="J43" i="9"/>
  <c r="E43" i="9"/>
  <c r="G43" i="9" s="1"/>
  <c r="I43" i="9"/>
  <c r="C43" i="9"/>
  <c r="K43" i="9"/>
  <c r="E65" i="12"/>
  <c r="E64" i="12"/>
  <c r="E63" i="12"/>
  <c r="E62" i="12"/>
  <c r="E61" i="12"/>
  <c r="D41" i="12"/>
  <c r="D40" i="12"/>
  <c r="D39" i="12"/>
  <c r="D38" i="12"/>
  <c r="D37" i="12"/>
  <c r="B23" i="12"/>
  <c r="B22" i="12"/>
  <c r="B21" i="12"/>
  <c r="B20" i="12"/>
  <c r="B19" i="12"/>
  <c r="E20" i="12"/>
  <c r="E23" i="12"/>
  <c r="E19" i="12"/>
  <c r="E22" i="12"/>
  <c r="F15" i="8"/>
  <c r="C4" i="9"/>
  <c r="G4" i="9"/>
  <c r="K4" i="9"/>
  <c r="C5" i="9"/>
  <c r="K5" i="9"/>
  <c r="C6" i="9"/>
  <c r="K6" i="9"/>
  <c r="C7" i="9"/>
  <c r="K7" i="9"/>
  <c r="C8" i="9"/>
  <c r="G8" i="9"/>
  <c r="K8" i="9"/>
  <c r="C9" i="9"/>
  <c r="K9" i="9"/>
  <c r="C10" i="9"/>
  <c r="K10" i="9"/>
  <c r="C11" i="9"/>
  <c r="K11" i="9"/>
  <c r="C12" i="9"/>
  <c r="G12" i="9"/>
  <c r="K12" i="9"/>
  <c r="C13" i="9"/>
  <c r="K13" i="9"/>
  <c r="C14" i="9"/>
  <c r="K14" i="9"/>
  <c r="C15" i="9"/>
  <c r="K15" i="9"/>
  <c r="C16" i="9"/>
  <c r="G16" i="9"/>
  <c r="D18" i="9"/>
  <c r="I18" i="9"/>
  <c r="B19" i="9"/>
  <c r="H19" i="9"/>
  <c r="K20" i="9"/>
  <c r="G20" i="9"/>
  <c r="C20" i="9"/>
  <c r="F20" i="9"/>
  <c r="L20" i="9" s="1"/>
  <c r="D22" i="9"/>
  <c r="I22" i="9"/>
  <c r="B23" i="9"/>
  <c r="H23" i="9"/>
  <c r="K24" i="9"/>
  <c r="G24" i="9"/>
  <c r="C24" i="9"/>
  <c r="F24" i="9"/>
  <c r="L24" i="9" s="1"/>
  <c r="D26" i="9"/>
  <c r="I26" i="9"/>
  <c r="B27" i="9"/>
  <c r="H27" i="9"/>
  <c r="K28" i="9"/>
  <c r="G28" i="9"/>
  <c r="C28" i="9"/>
  <c r="J28" i="9"/>
  <c r="F28" i="9"/>
  <c r="L28" i="9" s="1"/>
  <c r="K29" i="9"/>
  <c r="G29" i="9"/>
  <c r="C29" i="9"/>
  <c r="J29" i="9"/>
  <c r="B29" i="9"/>
  <c r="I29" i="9"/>
  <c r="E30" i="9"/>
  <c r="K31" i="9"/>
  <c r="C31" i="9"/>
  <c r="J31" i="9"/>
  <c r="B31" i="9"/>
  <c r="I31" i="9"/>
  <c r="E32" i="9"/>
  <c r="F32" i="9" s="1"/>
  <c r="L32" i="9" s="1"/>
  <c r="K33" i="9"/>
  <c r="G33" i="9"/>
  <c r="C33" i="9"/>
  <c r="J33" i="9"/>
  <c r="B33" i="9"/>
  <c r="I33" i="9"/>
  <c r="E34" i="9"/>
  <c r="G34" i="9" s="1"/>
  <c r="B35" i="9"/>
  <c r="H36" i="9"/>
  <c r="D36" i="9"/>
  <c r="G36" i="9" s="1"/>
  <c r="I36" i="9"/>
  <c r="C36" i="9"/>
  <c r="B36" i="9"/>
  <c r="K36" i="9"/>
  <c r="B43" i="9"/>
  <c r="B53" i="12"/>
  <c r="B52" i="12"/>
  <c r="B51" i="12"/>
  <c r="B50" i="12"/>
  <c r="B49" i="12"/>
  <c r="E41" i="12"/>
  <c r="E39" i="12"/>
  <c r="E37" i="12"/>
  <c r="E31" i="12"/>
  <c r="E40" i="12"/>
  <c r="D4" i="9"/>
  <c r="D5" i="9"/>
  <c r="G5" i="9" s="1"/>
  <c r="D6" i="9"/>
  <c r="D7" i="9"/>
  <c r="D8" i="9"/>
  <c r="D9" i="9"/>
  <c r="G9" i="9" s="1"/>
  <c r="D10" i="9"/>
  <c r="D11" i="9"/>
  <c r="D12" i="9"/>
  <c r="D13" i="9"/>
  <c r="G13" i="9" s="1"/>
  <c r="D14" i="9"/>
  <c r="D15" i="9"/>
  <c r="D16" i="9"/>
  <c r="H16" i="9"/>
  <c r="K17" i="9"/>
  <c r="G17" i="9"/>
  <c r="C17" i="9"/>
  <c r="F17" i="9"/>
  <c r="L17" i="9" s="1"/>
  <c r="E18" i="9"/>
  <c r="F18" i="9" s="1"/>
  <c r="L18" i="9" s="1"/>
  <c r="J18" i="9"/>
  <c r="D19" i="9"/>
  <c r="G19" i="9" s="1"/>
  <c r="I19" i="9"/>
  <c r="B20" i="9"/>
  <c r="H20" i="9"/>
  <c r="K21" i="9"/>
  <c r="G21" i="9"/>
  <c r="C21" i="9"/>
  <c r="F21" i="9"/>
  <c r="L21" i="9" s="1"/>
  <c r="E22" i="9"/>
  <c r="F22" i="9" s="1"/>
  <c r="L22" i="9" s="1"/>
  <c r="J22" i="9"/>
  <c r="D23" i="9"/>
  <c r="F23" i="9" s="1"/>
  <c r="L23" i="9" s="1"/>
  <c r="I23" i="9"/>
  <c r="B24" i="9"/>
  <c r="H24" i="9"/>
  <c r="K25" i="9"/>
  <c r="G25" i="9"/>
  <c r="C25" i="9"/>
  <c r="F25" i="9"/>
  <c r="L25" i="9" s="1"/>
  <c r="E26" i="9"/>
  <c r="F26" i="9" s="1"/>
  <c r="L26" i="9" s="1"/>
  <c r="J26" i="9"/>
  <c r="D27" i="9"/>
  <c r="G27" i="9" s="1"/>
  <c r="I27" i="9"/>
  <c r="B28" i="9"/>
  <c r="H28" i="9"/>
  <c r="D29" i="9"/>
  <c r="F29" i="9" s="1"/>
  <c r="L29" i="9" s="1"/>
  <c r="H30" i="9"/>
  <c r="D31" i="9"/>
  <c r="F31" i="9" s="1"/>
  <c r="L31" i="9" s="1"/>
  <c r="H32" i="9"/>
  <c r="D33" i="9"/>
  <c r="F33" i="9" s="1"/>
  <c r="L33" i="9" s="1"/>
  <c r="H34" i="9"/>
  <c r="F35" i="9"/>
  <c r="L35" i="9" s="1"/>
  <c r="E36" i="9"/>
  <c r="H39" i="9"/>
  <c r="D39" i="9"/>
  <c r="J39" i="9"/>
  <c r="E39" i="9"/>
  <c r="I39" i="9"/>
  <c r="C39" i="9"/>
  <c r="K39" i="9"/>
  <c r="J40" i="9"/>
  <c r="E34" i="12"/>
  <c r="E38" i="12"/>
  <c r="H37" i="9"/>
  <c r="D37" i="9"/>
  <c r="G37" i="9" s="1"/>
  <c r="F37" i="9"/>
  <c r="L37" i="9" s="1"/>
  <c r="K37" i="9"/>
  <c r="H41" i="9"/>
  <c r="D41" i="9"/>
  <c r="F41" i="9"/>
  <c r="L41" i="9" s="1"/>
  <c r="K41" i="9"/>
  <c r="D35" i="12"/>
  <c r="D34" i="12"/>
  <c r="D33" i="12"/>
  <c r="D32" i="12"/>
  <c r="D31" i="12"/>
  <c r="C59" i="12"/>
  <c r="C58" i="12"/>
  <c r="C57" i="12"/>
  <c r="C56" i="12"/>
  <c r="C55" i="12"/>
  <c r="D17" i="12"/>
  <c r="D16" i="12"/>
  <c r="D15" i="12"/>
  <c r="D14" i="12"/>
  <c r="D13" i="12"/>
  <c r="C35" i="12"/>
  <c r="C34" i="12"/>
  <c r="C33" i="12"/>
  <c r="C32" i="12"/>
  <c r="C31" i="12"/>
  <c r="B17" i="12"/>
  <c r="B16" i="12"/>
  <c r="B15" i="12"/>
  <c r="B14" i="12"/>
  <c r="B13" i="12"/>
  <c r="E26" i="12"/>
  <c r="E28" i="12"/>
  <c r="B37" i="9"/>
  <c r="H38" i="9"/>
  <c r="D38" i="9"/>
  <c r="G38" i="9" s="1"/>
  <c r="F38" i="9"/>
  <c r="L38" i="9" s="1"/>
  <c r="K38" i="9"/>
  <c r="B41" i="9"/>
  <c r="G41" i="9"/>
  <c r="H42" i="9"/>
  <c r="D42" i="9"/>
  <c r="G42" i="9" s="1"/>
  <c r="F42" i="9"/>
  <c r="L42" i="9" s="1"/>
  <c r="K42" i="9"/>
  <c r="C53" i="12"/>
  <c r="C52" i="12"/>
  <c r="C51" i="12"/>
  <c r="C50" i="12"/>
  <c r="C49" i="12"/>
  <c r="P4" i="11"/>
  <c r="N6" i="12" s="1"/>
  <c r="B31" i="12"/>
  <c r="B32" i="12"/>
  <c r="B33" i="12"/>
  <c r="B34" i="12"/>
  <c r="B35" i="12"/>
  <c r="B37" i="12"/>
  <c r="B38" i="12"/>
  <c r="B39" i="12"/>
  <c r="B40" i="12"/>
  <c r="B41" i="12"/>
  <c r="B43" i="12"/>
  <c r="B44" i="12"/>
  <c r="B45" i="12"/>
  <c r="B46" i="12"/>
  <c r="B47" i="12"/>
  <c r="B55" i="12"/>
  <c r="B56" i="12"/>
  <c r="B57" i="12"/>
  <c r="B58" i="12"/>
  <c r="B59" i="12"/>
  <c r="C13" i="12"/>
  <c r="C14" i="12"/>
  <c r="C15" i="12"/>
  <c r="C16" i="12"/>
  <c r="C17" i="12"/>
  <c r="C61" i="12"/>
  <c r="C62" i="12"/>
  <c r="C63" i="12"/>
  <c r="C64" i="12"/>
  <c r="C65" i="12"/>
  <c r="D19" i="12"/>
  <c r="D20" i="12"/>
  <c r="D21" i="12"/>
  <c r="D22" i="12"/>
  <c r="D23" i="12"/>
  <c r="D49" i="12"/>
  <c r="D50" i="12"/>
  <c r="D51" i="12"/>
  <c r="D52" i="12"/>
  <c r="D55" i="12"/>
  <c r="D56" i="12"/>
  <c r="D57" i="12"/>
  <c r="D58" i="12"/>
  <c r="D59" i="12"/>
  <c r="E46" i="12"/>
  <c r="E49" i="12"/>
  <c r="E50" i="12"/>
  <c r="E51" i="12"/>
  <c r="E52" i="12"/>
  <c r="E55" i="12"/>
  <c r="E56" i="12"/>
  <c r="E57" i="12"/>
  <c r="E58" i="12"/>
  <c r="G23" i="9" l="1"/>
  <c r="G31" i="9"/>
  <c r="D13" i="7"/>
  <c r="F13" i="7"/>
  <c r="E13" i="7"/>
  <c r="D11" i="7"/>
  <c r="F11" i="7"/>
  <c r="E11" i="7"/>
  <c r="F14" i="9"/>
  <c r="L14" i="9" s="1"/>
  <c r="F10" i="9"/>
  <c r="L10" i="9" s="1"/>
  <c r="F6" i="9"/>
  <c r="L6" i="9" s="1"/>
  <c r="G40" i="9"/>
  <c r="G26" i="9"/>
  <c r="G18" i="9"/>
  <c r="D10" i="7"/>
  <c r="F10" i="7"/>
  <c r="E10" i="7"/>
  <c r="F43" i="9"/>
  <c r="L43" i="9" s="1"/>
  <c r="D47" i="12"/>
  <c r="D46" i="12"/>
  <c r="D45" i="12"/>
  <c r="D44" i="12"/>
  <c r="D43" i="12"/>
  <c r="C23" i="12"/>
  <c r="C22" i="12"/>
  <c r="C21" i="12"/>
  <c r="C20" i="12"/>
  <c r="C19" i="12"/>
  <c r="G39" i="9"/>
  <c r="F39" i="9"/>
  <c r="L39" i="9" s="1"/>
  <c r="F36" i="9"/>
  <c r="L36" i="9" s="1"/>
  <c r="D12" i="7"/>
  <c r="F12" i="7"/>
  <c r="E12" i="7"/>
</calcChain>
</file>

<file path=xl/sharedStrings.xml><?xml version="1.0" encoding="utf-8"?>
<sst xmlns="http://schemas.openxmlformats.org/spreadsheetml/2006/main" count="1782" uniqueCount="688">
  <si>
    <t>THROWERS R US — ANNUAL PLAN &amp; ATHLETE MONITORING SYSTEM</t>
  </si>
  <si>
    <t>21st 'Coming of Age' Season and beyond  |  H. Michael Vassell  |  jamthrows@gmail.com</t>
  </si>
  <si>
    <t>HOW THIS WORKBOOK WORKS</t>
  </si>
  <si>
    <t>This file is the single database for your throws programme. Upload it to Google Drive, open it as a Google Sheet, and connect it to AppSheet. Athletes submit weekly results from their phones through the AppSheet app; the data lands in the 'Weekly Results' tab and every report updates automatically.</t>
  </si>
  <si>
    <t>TAB GUIDE</t>
  </si>
  <si>
    <t>1. Athletes — the master roster. One row per thrower, tagged by team, with baseline numbers (start-of-season throw distance, squat, bench, power clean) and PBs. Sample athletes are included — replace with your real roster.</t>
  </si>
  <si>
    <t>2. Annual Plan — a 52-week periodised season template (GPP → SPP → Pre-Comp → Competition → Peak → Nationals → Transition → Recovery). Change the Season Start date at the top and every week re-dates itself. Edit phases/focus to suit each group.</t>
  </si>
  <si>
    <t>3. Meet Schedule — update this weekly as fixtures are confirmed. It feeds the meet dropdown in AppSheet so athletes can tag competition results.</t>
  </si>
  <si>
    <t>4. Weekly Results — the data table AppSheet writes to. One row per athlete per week: best throw plus top sets for squat, bench and power clean, RPE, and whether it was a meet result. Sample rows included for demonstration — delete once live.</t>
  </si>
  <si>
    <t>5. Athlete Report — pick any Athlete ID from the dropdown to see this week vs last week for every metric, with ▲/▼ improvement flags, comparison to baseline, season best, and a 16-week trend table.</t>
  </si>
  <si>
    <t>6. Monthly Summary — pick an athlete and see best/average performance month by month across the season.</t>
  </si>
  <si>
    <t>7. Squad Overview — the annual report: every athlete's baseline vs season best, gains in metres and %, best lifts, last log date, and an overall Improving/Declining flag. Sortable by team.</t>
  </si>
  <si>
    <t>8. Lists — dropdown values (teams, events, statuses). Add teams here as needed.</t>
  </si>
  <si>
    <t>APPSHEET SETUP (ONE-TIME, ~15 MINUTES)</t>
  </si>
  <si>
    <t>Step 1 — Upload: In Google Drive, upload this file, open it, then File → Save as Google Sheets.</t>
  </si>
  <si>
    <t>Step 2 — Create the app: Go to appsheet.com, sign in with the same Google account, click 'Create' → 'App' → 'Start with existing data' and select the Google Sheet.</t>
  </si>
  <si>
    <t>Step 3 — Tables: Add 'Weekly Results' (Updates allowed: Adds), 'Athletes' (Read-Only for athletes), and 'Meet Schedule' (Read-Only). Set EntryID as the key for Weekly Results with Initial value = UNIQUEID(). Set AthleteID as the key for Athletes.</t>
  </si>
  <si>
    <t>Step 4 — Form: In the Weekly Results form view, make AthleteID a Ref to Athletes (athletes pick their name), Event a dropdown, and Meet Name a Ref to Meet Schedule.</t>
  </si>
  <si>
    <t>Step 5 — Security: Under Users, share the app with athletes' Google emails, or use a public link with USEREMAIL() capture. Restrict edits so athletes can only add rows, not change history.</t>
  </si>
  <si>
    <t>Step 6 — Deploy: Athletes install 'AppSheet' from their app store, open your shared app, and log results straight after Saturday sessions or meets.</t>
  </si>
  <si>
    <t>WEEKLY COACHING WORKFLOW</t>
  </si>
  <si>
    <t>• Monday: open Squad Overview and Athlete Report — see who improved (▲), who regressed (▼), adjust the week's loading in Annual Plan.</t>
  </si>
  <si>
    <t>• Update Meet Schedule with any new/changed fixtures.</t>
  </si>
  <si>
    <t>• Monthly: check Monthly Summary against the Annual Plan phase — is the programme producing the expected adaptation for that block?</t>
  </si>
  <si>
    <t>• End of season: Squad Overview is your programme-effect report for sponsors, UTech and the Ministry.</t>
  </si>
  <si>
    <t>NOTES</t>
  </si>
  <si>
    <t>• Lifts are logged as the best working set of the week in kg; throws as the best measured throw in metres.</t>
  </si>
  <si>
    <t>• Week # = training week of the season (Week 1 begins on the Season Start date in Annual Plan).</t>
  </si>
  <si>
    <t>• All report tabs recalculate automatically — never type over cells with formulas (black text). Blue text = values you edit.</t>
  </si>
  <si>
    <t>LIFTING PROGRAMME ENGINE (added from your 2025 Season Lifting file)</t>
  </si>
  <si>
    <t>• Max Master — your full 2025 roster (22 athletes) with tested 1RMs for the six core lifts in lbs. The nine derived lifts (Front Squats, Incline Bench, Clean Hi Pull, Snatch Pull, etc.) calculate automatically at your ratios (80% / 115%). Missing maxes now show blank instead of error codes.</t>
  </si>
  <si>
    <t>• Set % Engine — the brain: week intensities (90/85/82/95%), rep schemes, and your exact 5-set pyramid percentages, all editable in one place. Change a percentage here and every athlete's programme updates instantly.</t>
  </si>
  <si>
    <t>• Workout Generator — pick any athlete from the dropdown and their complete Meso 1 (4 weeks x 4 lift days, 5-set pyramids, ancillaries) generates instantly, rounded up to 5 lbs for plate loading. This replaces keeping a separate workbook per athlete: one sheet now serves the whole squad. Lift assignments are dropdowns, so building Meso 2-4 is just changing the lift names.</t>
  </si>
  <si>
    <t>• Group Weekly Plan — the HS Juniors / HS Seniors / Seniors weekly structure from your file, ready to edit each phase.</t>
  </si>
  <si>
    <t>• All strength entries across the workbook are now in lbs to match your gym's plate loading.</t>
  </si>
  <si>
    <t>• Workflow: test maxes → enter in Max Master → athletes' programmes generate → athletes log best working sets weekly via AppSheet → reports show whether the throws are responding to the lifting.</t>
  </si>
  <si>
    <t>Teams</t>
  </si>
  <si>
    <t>Events</t>
  </si>
  <si>
    <t>Y/N</t>
  </si>
  <si>
    <t>Status</t>
  </si>
  <si>
    <t>Phases</t>
  </si>
  <si>
    <t>Core Lifts</t>
  </si>
  <si>
    <t>Excelsior High</t>
  </si>
  <si>
    <t>Shot Put</t>
  </si>
  <si>
    <t>Y</t>
  </si>
  <si>
    <t>Active</t>
  </si>
  <si>
    <t>General Preparation (GPP)</t>
  </si>
  <si>
    <t>WIDE BENCH PRESS</t>
  </si>
  <si>
    <t>UTech</t>
  </si>
  <si>
    <t>Discus</t>
  </si>
  <si>
    <t>N</t>
  </si>
  <si>
    <t>Injured</t>
  </si>
  <si>
    <t>Specific Preparation (SPP)</t>
  </si>
  <si>
    <t>BACK PRESS</t>
  </si>
  <si>
    <t>Throwers R Us</t>
  </si>
  <si>
    <t>Javelin</t>
  </si>
  <si>
    <t>Inactive</t>
  </si>
  <si>
    <t>Pre-Competition</t>
  </si>
  <si>
    <t>SQUATS</t>
  </si>
  <si>
    <t>ACE Track Club</t>
  </si>
  <si>
    <t>Hammer</t>
  </si>
  <si>
    <t>Competition 1</t>
  </si>
  <si>
    <t>CLEANS</t>
  </si>
  <si>
    <t>UWI</t>
  </si>
  <si>
    <t>Peak / Championships</t>
  </si>
  <si>
    <t>SNATCH</t>
  </si>
  <si>
    <t>Other</t>
  </si>
  <si>
    <t>Competition 2 / Nationals</t>
  </si>
  <si>
    <t>DEADLIFTS</t>
  </si>
  <si>
    <t>Transition</t>
  </si>
  <si>
    <t>FRONT SQUATS</t>
  </si>
  <si>
    <t>Active Rest / Recovery</t>
  </si>
  <si>
    <t>INCLINE BENCH</t>
  </si>
  <si>
    <t>FRONT PRESS</t>
  </si>
  <si>
    <t>CLEAN PRESS, BACK PRESS</t>
  </si>
  <si>
    <t>OHEAD SQUAT</t>
  </si>
  <si>
    <t>SQUAT TO BACK PRESS</t>
  </si>
  <si>
    <t>FRONT SQUAT TO PRESS</t>
  </si>
  <si>
    <t>CLEAN HI PULL</t>
  </si>
  <si>
    <t>SNATCH PULL</t>
  </si>
  <si>
    <t>AthleteID</t>
  </si>
  <si>
    <t>Name</t>
  </si>
  <si>
    <t>Team</t>
  </si>
  <si>
    <t>Sex</t>
  </si>
  <si>
    <t>Class/Category</t>
  </si>
  <si>
    <t>Primary Event</t>
  </si>
  <si>
    <t>Secondary Event</t>
  </si>
  <si>
    <t>DOB</t>
  </si>
  <si>
    <t>Coach</t>
  </si>
  <si>
    <t>Baseline Throw (m)</t>
  </si>
  <si>
    <t>Baseline Squat (lbs)</t>
  </si>
  <si>
    <t>Baseline Bench (lbs)</t>
  </si>
  <si>
    <t>Baseline Clean (lbs)</t>
  </si>
  <si>
    <t>PB Throw (m)</t>
  </si>
  <si>
    <t>TRU001</t>
  </si>
  <si>
    <t>Sample Athlete A</t>
  </si>
  <si>
    <t>M</t>
  </si>
  <si>
    <t>Open</t>
  </si>
  <si>
    <t>M. Vassell</t>
  </si>
  <si>
    <t>TRU002</t>
  </si>
  <si>
    <t>Sample Athlete B</t>
  </si>
  <si>
    <t>F</t>
  </si>
  <si>
    <t>Class 1</t>
  </si>
  <si>
    <t>TRU003</t>
  </si>
  <si>
    <t>Sample Athlete C</t>
  </si>
  <si>
    <t>U20</t>
  </si>
  <si>
    <t>Season Start (Monday):</t>
  </si>
  <si>
    <t>Change this date and all 52 weeks re-date automatically.</t>
  </si>
  <si>
    <t>Week #</t>
  </si>
  <si>
    <t>Week Beginning</t>
  </si>
  <si>
    <t>Phase</t>
  </si>
  <si>
    <t>Primary Focus</t>
  </si>
  <si>
    <t>Throw Sessions</t>
  </si>
  <si>
    <t>Gym Sessions</t>
  </si>
  <si>
    <t>Intensity</t>
  </si>
  <si>
    <t>Volume</t>
  </si>
  <si>
    <t>Planned Meet</t>
  </si>
  <si>
    <t>Notes</t>
  </si>
  <si>
    <t>General strength, work capacity, mobility, multi-throws with light implements, sprint &amp; jump base</t>
  </si>
  <si>
    <t>Low-Mod</t>
  </si>
  <si>
    <t>High</t>
  </si>
  <si>
    <t>Event technique volume, heavy strength block (squat/clean emphasis), heavy &amp; standard implements</t>
  </si>
  <si>
    <t>Moderate</t>
  </si>
  <si>
    <t>Technical refinement at full intensity, convert strength to power, standard implement, openers practice</t>
  </si>
  <si>
    <t>Mod-High</t>
  </si>
  <si>
    <t>Ted Dwyer Invitational (early Jan)</t>
  </si>
  <si>
    <t>Compete &amp; sharpen: full-intensity throwing, maintenance strength, video review after each meet</t>
  </si>
  <si>
    <t>BIG SHOT INVITATIONAL</t>
  </si>
  <si>
    <t>KING OF THE RING (Feb 14)</t>
  </si>
  <si>
    <t>Development meet</t>
  </si>
  <si>
    <t>Boys &amp; Girls Champs</t>
  </si>
  <si>
    <t>Taper: low volume, maximal intent, competition simulation, recovery priority (Champs / Carifta window)</t>
  </si>
  <si>
    <t>Very High</t>
  </si>
  <si>
    <t>Low</t>
  </si>
  <si>
    <t>Carifta Trials</t>
  </si>
  <si>
    <t>Carifta Games</t>
  </si>
  <si>
    <t>Rebuild short strength block then re-peak for JAAA Nationals / senior season</t>
  </si>
  <si>
    <t>Puma Series</t>
  </si>
  <si>
    <t>JAAA National Championships</t>
  </si>
  <si>
    <t>Reduced structured training, general fitness, address injuries, technical review of season video</t>
  </si>
  <si>
    <t>Complete rest weeks then playful general activity; goal-setting and testing plan for new season</t>
  </si>
  <si>
    <t>Rest</t>
  </si>
  <si>
    <t>MeetID</t>
  </si>
  <si>
    <t>Date</t>
  </si>
  <si>
    <t>Meet Name</t>
  </si>
  <si>
    <t>Venue</t>
  </si>
  <si>
    <t>Entry Deadline</t>
  </si>
  <si>
    <t>Registration Link</t>
  </si>
  <si>
    <t>M001</t>
  </si>
  <si>
    <t>Ted Dwyer Invitational</t>
  </si>
  <si>
    <t>Excelsior High School</t>
  </si>
  <si>
    <t>Confirmed</t>
  </si>
  <si>
    <t>M002</t>
  </si>
  <si>
    <t>Big Shot Invitational (19th)</t>
  </si>
  <si>
    <t>https://fortistiming.co/meets/register/</t>
  </si>
  <si>
    <t>Throwers R Us flagship</t>
  </si>
  <si>
    <t>M003</t>
  </si>
  <si>
    <t>King of the Ring (22nd)</t>
  </si>
  <si>
    <t>Valentine's weekend staging</t>
  </si>
  <si>
    <t>M004</t>
  </si>
  <si>
    <t>National Stadium</t>
  </si>
  <si>
    <t>TBC</t>
  </si>
  <si>
    <t>Update when JAAA publishes</t>
  </si>
  <si>
    <t>M005</t>
  </si>
  <si>
    <t>EntryID</t>
  </si>
  <si>
    <t>Event</t>
  </si>
  <si>
    <t>Best Throw (m)</t>
  </si>
  <si>
    <t>Squat (lbs)</t>
  </si>
  <si>
    <t>Bench (lbs)</t>
  </si>
  <si>
    <t>Power Clean (lbs)</t>
  </si>
  <si>
    <t>RPE (1-10)</t>
  </si>
  <si>
    <t>Meet Result (Y/N)</t>
  </si>
  <si>
    <t>E0001</t>
  </si>
  <si>
    <t>Sample data - delete</t>
  </si>
  <si>
    <t>E0002</t>
  </si>
  <si>
    <t>E0003</t>
  </si>
  <si>
    <t>E0004</t>
  </si>
  <si>
    <t>E0005</t>
  </si>
  <si>
    <t>E0006</t>
  </si>
  <si>
    <t>E0007</t>
  </si>
  <si>
    <t>Heavy fatigue week</t>
  </si>
  <si>
    <t>E0008</t>
  </si>
  <si>
    <t>E0009</t>
  </si>
  <si>
    <t>E0010</t>
  </si>
  <si>
    <t>E0011</t>
  </si>
  <si>
    <t>E0012</t>
  </si>
  <si>
    <t>WEEKLY ATHLETE REPORT</t>
  </si>
  <si>
    <t>Select Athlete ID:</t>
  </si>
  <si>
    <t>Name:</t>
  </si>
  <si>
    <t>Team:</t>
  </si>
  <si>
    <t>Primary Event:</t>
  </si>
  <si>
    <t>Latest Training Week:</t>
  </si>
  <si>
    <t>Metric</t>
  </si>
  <si>
    <t>This Week</t>
  </si>
  <si>
    <t>Last Week</t>
  </si>
  <si>
    <t>Change</t>
  </si>
  <si>
    <t>% Change</t>
  </si>
  <si>
    <t>Trend</t>
  </si>
  <si>
    <t>Baseline</t>
  </si>
  <si>
    <t>Season Best</t>
  </si>
  <si>
    <t>vs Baseline %</t>
  </si>
  <si>
    <t>16-WEEK TREND (best of each training week)</t>
  </si>
  <si>
    <t>MONTHLY SUMMARY</t>
  </si>
  <si>
    <t>Month</t>
  </si>
  <si>
    <t>Start</t>
  </si>
  <si>
    <t>End</t>
  </si>
  <si>
    <t>Avg Throw (m)</t>
  </si>
  <si>
    <t>Best Squat (lbs)</t>
  </si>
  <si>
    <t>Best Bench (lbs)</t>
  </si>
  <si>
    <t>Best Clean (lbs)</t>
  </si>
  <si>
    <t>Sessions Logged</t>
  </si>
  <si>
    <t>Sep 2026</t>
  </si>
  <si>
    <t>Oct 2026</t>
  </si>
  <si>
    <t>Nov 2026</t>
  </si>
  <si>
    <t>Dec 2026</t>
  </si>
  <si>
    <t>Jan 2027</t>
  </si>
  <si>
    <t>Feb 2027</t>
  </si>
  <si>
    <t>Mar 2027</t>
  </si>
  <si>
    <t>Apr 2027</t>
  </si>
  <si>
    <t>May 2027</t>
  </si>
  <si>
    <t>Jun 2027</t>
  </si>
  <si>
    <t>Jul 2027</t>
  </si>
  <si>
    <t>Aug 2027</t>
  </si>
  <si>
    <t>SQUAD OVERVIEW — SEASON PROGRAMME EFFECT</t>
  </si>
  <si>
    <t>Season Best (m)</t>
  </si>
  <si>
    <t>Gain (m)</t>
  </si>
  <si>
    <t>Gain %</t>
  </si>
  <si>
    <t>Last Entry</t>
  </si>
  <si>
    <t>Overall Trend</t>
  </si>
  <si>
    <t>SET % ENGINE — MESO 1 (edit blue values to re-programme every athlete at once)</t>
  </si>
  <si>
    <t>WEEK 1</t>
  </si>
  <si>
    <t>WEEK 2</t>
  </si>
  <si>
    <t>WEEK 3</t>
  </si>
  <si>
    <t>WEEK 4</t>
  </si>
  <si>
    <t>Week Intensity (of 1RM)</t>
  </si>
  <si>
    <t>Rep Scheme</t>
  </si>
  <si>
    <t>5 x 8, 8, 6, 6, 4</t>
  </si>
  <si>
    <t>5 x 5</t>
  </si>
  <si>
    <t>5 x 3 / 4 x 4</t>
  </si>
  <si>
    <t>2 x 3 / 3 x 1</t>
  </si>
  <si>
    <t>SET PYRAMID % (per set, of week working max)</t>
  </si>
  <si>
    <t>Set 1</t>
  </si>
  <si>
    <t>Set 2</t>
  </si>
  <si>
    <t>Set 3</t>
  </si>
  <si>
    <t>Set 4</t>
  </si>
  <si>
    <t>Set 5</t>
  </si>
  <si>
    <t>DERIVED LIFT RATIOS (auto-calculated maxes on Max Master)</t>
  </si>
  <si>
    <t>Derived Lift</t>
  </si>
  <si>
    <t>Based On</t>
  </si>
  <si>
    <t>Ratio</t>
  </si>
  <si>
    <t>All loads round UP to the nearest 5 lbs (plate loading), exactly as in your 2025 sheets.</t>
  </si>
  <si>
    <t>MAX MASTER — one roster drives every athlete's programme</t>
  </si>
  <si>
    <t>No.</t>
  </si>
  <si>
    <t>Test Date</t>
  </si>
  <si>
    <t>Adonay Fearon</t>
  </si>
  <si>
    <t>Adrienne Adams</t>
  </si>
  <si>
    <t>Akayla Brown</t>
  </si>
  <si>
    <t>Alyssa Forrester</t>
  </si>
  <si>
    <t>Brycen Bailey</t>
  </si>
  <si>
    <t>Daniel Thompson</t>
  </si>
  <si>
    <t>Gianna Clayton</t>
  </si>
  <si>
    <t>Gisan Ashley</t>
  </si>
  <si>
    <t>Jerome Wallace</t>
  </si>
  <si>
    <t>Joshua Munroe</t>
  </si>
  <si>
    <t>Kahllah Bailey</t>
  </si>
  <si>
    <t>Katie Gordon</t>
  </si>
  <si>
    <t>Kayla Honeywell</t>
  </si>
  <si>
    <t>Kimberly Johnson</t>
  </si>
  <si>
    <t>Kimeka Smith</t>
  </si>
  <si>
    <t>Lamoy Livingston</t>
  </si>
  <si>
    <t>Najhada Seymoure</t>
  </si>
  <si>
    <t>Oneil Collins</t>
  </si>
  <si>
    <t>Shamar Russell</t>
  </si>
  <si>
    <t>Tajore Lynch</t>
  </si>
  <si>
    <t>Tamar Austin</t>
  </si>
  <si>
    <t>Zoey Ann Plummer</t>
  </si>
  <si>
    <t>Tested lifts (blue) come from max testing. Derived lifts calculate automatically — missing maxes simply stay blank instead of showing error codes.</t>
  </si>
  <si>
    <t>WORKOUT GENERATOR — MESO 1 (4 weeks, 4 lift days)</t>
  </si>
  <si>
    <t>Select Athlete:</t>
  </si>
  <si>
    <t>LIFT DAYS: MON / TUES / THUR / FRI</t>
  </si>
  <si>
    <t>MAXES</t>
  </si>
  <si>
    <t>(lbs)</t>
  </si>
  <si>
    <t>Reps</t>
  </si>
  <si>
    <t>DAY 1</t>
  </si>
  <si>
    <t>DAY 2</t>
  </si>
  <si>
    <t>DAY 3</t>
  </si>
  <si>
    <t>DAY 4</t>
  </si>
  <si>
    <t>ANCILLARY EXERCISES (between sets / after core lifts)</t>
  </si>
  <si>
    <t>10 PUSHUPS BETWEEN SETS (N / LH / RH / W / N)</t>
  </si>
  <si>
    <t>MACHINE ROWS 4 X 8 @ 70% OF BENCH</t>
  </si>
  <si>
    <t>OHEAD BAR TWIST 4 X 20</t>
  </si>
  <si>
    <t>ROTATOR CUFF CIRCUIT 4 X 10</t>
  </si>
  <si>
    <t>30 INCLINE BOARD ST ARM SITUPS IN BETWEEN</t>
  </si>
  <si>
    <t>REVERSE HYPER-EXTENSIONS 2 X 20</t>
  </si>
  <si>
    <t>WEIGHTED INS AND OUTS 2 X 20 EACH</t>
  </si>
  <si>
    <t>STRAIGHT ARM TWIST 20 EACH SIDE</t>
  </si>
  <si>
    <t>8 PUSHUPS BETWEEN SETS (N / LH / RH / W / N)</t>
  </si>
  <si>
    <t>LAT PULLDOWNS 4 X 15 (80% BACK PRESS)</t>
  </si>
  <si>
    <t>WEIGHTED HYPER-EXTENSIONS 2 X 30</t>
  </si>
  <si>
    <t>DUMBBELL SHRUGS 2 X 20</t>
  </si>
  <si>
    <t>LOW BOX JUMPS AFTER EACH SET OF SQUATS (4 JUMPS)</t>
  </si>
  <si>
    <t>INCLINE BOARD ST ARM SITUPS 2 X 40</t>
  </si>
  <si>
    <t>WEIGHTED FRONT &amp; SIDE RAISES 2 X 20 AFTER CLEANS</t>
  </si>
  <si>
    <t>IN/OUT JUMPS 2 X 20</t>
  </si>
  <si>
    <t>GROUP WEEKLY TRAINING TEMPLATE</t>
  </si>
  <si>
    <t>Group</t>
  </si>
  <si>
    <t>DAY 1 - Monday</t>
  </si>
  <si>
    <t>DAY 2 - Tuesday</t>
  </si>
  <si>
    <t>DAY 3 - Wednesday</t>
  </si>
  <si>
    <t>DAY 4 - Thursday</t>
  </si>
  <si>
    <t>DAY 5 - Friday</t>
  </si>
  <si>
    <t>DAY 6 - Saturday</t>
  </si>
  <si>
    <t>HS JUNIORS</t>
  </si>
  <si>
    <t>DRILLS / TECHNICAL THROWS / CORE WORK</t>
  </si>
  <si>
    <t>Throws / Core</t>
  </si>
  <si>
    <t>Hell Runs / Hurdle Mobility / Flexibility</t>
  </si>
  <si>
    <t>Competition</t>
  </si>
  <si>
    <t>DRILLS / CORE / Throws / Strength Wkout</t>
  </si>
  <si>
    <t>Throws / Strength Wkout</t>
  </si>
  <si>
    <t>HS SENIORS</t>
  </si>
  <si>
    <t>Throws</t>
  </si>
  <si>
    <t>Lifting / DRILLS / CORE / Throws</t>
  </si>
  <si>
    <t>Lifting / Throws</t>
  </si>
  <si>
    <t>SENIORS</t>
  </si>
  <si>
    <t>Technical Throws / DRILLS / CORE</t>
  </si>
  <si>
    <t>Hell Runs / Hurdle Mobility / 12 Throws</t>
  </si>
  <si>
    <t>DRILLS / CORE / Throws / Lifting</t>
  </si>
  <si>
    <t>Senior Core / Lifting / 12 Throws</t>
  </si>
  <si>
    <t>Wednesday supplementary (all groups): Hurdle Mobility 2 each x 10 hurdles · Drills &amp; Throws · Core circuits (Hydrants, Bicycles, Scissors, Hip Bridges, Russian Twists, Dead Bugs).</t>
  </si>
  <si>
    <t>UpperBody</t>
  </si>
  <si>
    <t>LowerBody</t>
  </si>
  <si>
    <t>OlympicLifts</t>
  </si>
  <si>
    <t>Ancillary</t>
  </si>
  <si>
    <t>Support</t>
  </si>
  <si>
    <t>SpecialStrength</t>
  </si>
  <si>
    <t>Compound</t>
  </si>
  <si>
    <t>Bodyweight</t>
  </si>
  <si>
    <t>AbsCoreGlutes</t>
  </si>
  <si>
    <t>HIIT_WORKOUT</t>
  </si>
  <si>
    <t>MedBallMobility</t>
  </si>
  <si>
    <t>RBands</t>
  </si>
  <si>
    <t>SetRep</t>
  </si>
  <si>
    <t>INCLINE BENCH PRESS</t>
  </si>
  <si>
    <t>FULL SQUATS</t>
  </si>
  <si>
    <t>DEADLIFT</t>
  </si>
  <si>
    <t>BAR TWISTS - SEATED</t>
  </si>
  <si>
    <t>DUMBBELL BENCH PRESS</t>
  </si>
  <si>
    <t>WEIGHTED HYPEREXTENSIONS</t>
  </si>
  <si>
    <t>EXPLOSIVE HARVARDS</t>
  </si>
  <si>
    <t>BUTTERFLY CRUNCH</t>
  </si>
  <si>
    <t>4 X 5M BEAR CRAWL</t>
  </si>
  <si>
    <t>MBM - OVER UNDER</t>
  </si>
  <si>
    <t>1x1</t>
  </si>
  <si>
    <t>LEG CURL</t>
  </si>
  <si>
    <t>FLOOR CLEANS</t>
  </si>
  <si>
    <t>BAR TWISTS -STANDING</t>
  </si>
  <si>
    <t>DUMBBELL LUNGES</t>
  </si>
  <si>
    <t>WEIGHTED HIP THRUST</t>
  </si>
  <si>
    <t>OVERHEAD SQUATS</t>
  </si>
  <si>
    <t>FROG JUMPS</t>
  </si>
  <si>
    <t>CRUNCH, REACH TO KNEE</t>
  </si>
  <si>
    <t>HIGH KNEE TAPS</t>
  </si>
  <si>
    <t>MBM - UPPER TWIST - SHOULDERS</t>
  </si>
  <si>
    <t>ISO LEG CURLS</t>
  </si>
  <si>
    <t>1x2</t>
  </si>
  <si>
    <t>BENCH PRESS - WIDE</t>
  </si>
  <si>
    <t>LEG CURLS / LEG EXTENSION</t>
  </si>
  <si>
    <t>FLOOR SNATCH</t>
  </si>
  <si>
    <t>CABLE ROWS</t>
  </si>
  <si>
    <t>DUMBBELL REVERSE LUNGES</t>
  </si>
  <si>
    <t>STAGGERED SQUATS - LEFT THEN RIGHT</t>
  </si>
  <si>
    <t>PARALLEL SQUAT TO CALF RAISE</t>
  </si>
  <si>
    <t>HOP, HOP, JUMP (L/R)</t>
  </si>
  <si>
    <t>DEAD BUG</t>
  </si>
  <si>
    <t>KNEE TOUCHES</t>
  </si>
  <si>
    <t>MBM - REVERSE TWIST</t>
  </si>
  <si>
    <t>LYING CHEST PRESS</t>
  </si>
  <si>
    <t>1x3</t>
  </si>
  <si>
    <t>BENCH PRESS</t>
  </si>
  <si>
    <t>LEG EXTENSION</t>
  </si>
  <si>
    <t>HANG CLEANS</t>
  </si>
  <si>
    <t>DUMB BELL INS AND OUT</t>
  </si>
  <si>
    <t>DUMBBELL STEP UP</t>
  </si>
  <si>
    <t>POWER POSITION SQUATS</t>
  </si>
  <si>
    <t>HOP, HOP, STEP, JUMP (R/L)</t>
  </si>
  <si>
    <t>ELBOW TO KNEE</t>
  </si>
  <si>
    <t>KNEEL TO SQUAT</t>
  </si>
  <si>
    <t>MBM - HI / LO</t>
  </si>
  <si>
    <t>OHEAD FLYS</t>
  </si>
  <si>
    <t>1x5</t>
  </si>
  <si>
    <t>LEG PRESS</t>
  </si>
  <si>
    <t>HANG SNATCH</t>
  </si>
  <si>
    <t>DUMB BELL SPLIT JUMPS</t>
  </si>
  <si>
    <t>KETTLEBELL CURTSEY SQUAT</t>
  </si>
  <si>
    <t/>
  </si>
  <si>
    <t>IN OUT JUMPS</t>
  </si>
  <si>
    <t>FIRE HYDRANTS</t>
  </si>
  <si>
    <t>LEG LIFTS</t>
  </si>
  <si>
    <t>MBM - SEATED TWIST</t>
  </si>
  <si>
    <t>OHEAD PRESS</t>
  </si>
  <si>
    <t>2x1</t>
  </si>
  <si>
    <t>SEATED CALF RAISE</t>
  </si>
  <si>
    <t>HIP CLEANS</t>
  </si>
  <si>
    <t>LAT PULL DOWN</t>
  </si>
  <si>
    <t>KETTLEBELL GOBLET SQUAT</t>
  </si>
  <si>
    <t>INCLINE PUSHUPS - NORMAL</t>
  </si>
  <si>
    <t>FONDA'S STRAIGHT LEG</t>
  </si>
  <si>
    <t>MB PUSH-UPS</t>
  </si>
  <si>
    <t>MBM - LYING CHEST PUSH</t>
  </si>
  <si>
    <t>PARALLEL SQUATS</t>
  </si>
  <si>
    <t>2x10</t>
  </si>
  <si>
    <t>BEHIND NECK PRESS</t>
  </si>
  <si>
    <t>STANDING CALF RAISE</t>
  </si>
  <si>
    <t>HIP SNATCH</t>
  </si>
  <si>
    <t>STANDING BAR TWISTS</t>
  </si>
  <si>
    <t>SQUAT JUMPS</t>
  </si>
  <si>
    <t>INCLINE PUSHUPS - RH</t>
  </si>
  <si>
    <t>GLUTE BRIDGE WITH RB BY KNEE</t>
  </si>
  <si>
    <t>MOUNTAIN CLIMBERS</t>
  </si>
  <si>
    <t>REGULAR FLYS</t>
  </si>
  <si>
    <t>2x15</t>
  </si>
  <si>
    <t>BICEP CURLS</t>
  </si>
  <si>
    <t>SINGLE LEG SQUATS</t>
  </si>
  <si>
    <t>INCLINE PUSHUPS - W</t>
  </si>
  <si>
    <t>GLUTEAL STRETCH</t>
  </si>
  <si>
    <t>REVERSE MOUNTAIN CLIMBERS</t>
  </si>
  <si>
    <t>REVERSE FLYS</t>
  </si>
  <si>
    <t>2x2</t>
  </si>
  <si>
    <t>TRICEP EXTENSIONS</t>
  </si>
  <si>
    <t>FULL SQUAT - BACK</t>
  </si>
  <si>
    <t>UPRIGHT ROW</t>
  </si>
  <si>
    <t>PUSHUPS - LH</t>
  </si>
  <si>
    <t>HAND STAND, SINGLE LEG RAISE (L&amp;R)</t>
  </si>
  <si>
    <t>SL DEADLIFT (L/R)</t>
  </si>
  <si>
    <t>ROMANIAN DEADLIFTS</t>
  </si>
  <si>
    <t>2x20</t>
  </si>
  <si>
    <t>FRONT SQUAT</t>
  </si>
  <si>
    <t>PUSHUPS - NARROW</t>
  </si>
  <si>
    <t>HANDSTAND BRIDGE</t>
  </si>
  <si>
    <t>SPLIT JUMPS</t>
  </si>
  <si>
    <t>SL SQUATS</t>
  </si>
  <si>
    <t>2x25</t>
  </si>
  <si>
    <t>PUSHUPS - NORMAL</t>
  </si>
  <si>
    <t>HEEL TO CEILING</t>
  </si>
  <si>
    <t>STARFISH</t>
  </si>
  <si>
    <t>TRICEPS EXTENSION</t>
  </si>
  <si>
    <t>2x3</t>
  </si>
  <si>
    <t>RDL</t>
  </si>
  <si>
    <t>PUSHUPS - RH</t>
  </si>
  <si>
    <t>HEEL TOUCHES</t>
  </si>
  <si>
    <t>STRAIGHT ARM SITUPS</t>
  </si>
  <si>
    <t>UPRIGHT ROWS</t>
  </si>
  <si>
    <t>2x30</t>
  </si>
  <si>
    <t>HAMSTRING CURL</t>
  </si>
  <si>
    <t>PUSHUPS - W</t>
  </si>
  <si>
    <t>HIGH KNEES</t>
  </si>
  <si>
    <t>TOE TOUCHES</t>
  </si>
  <si>
    <t>2x40</t>
  </si>
  <si>
    <t>SPLIT SQUAT</t>
  </si>
  <si>
    <t>SKI JUMPS</t>
  </si>
  <si>
    <t>HIP CIRCLES</t>
  </si>
  <si>
    <t>MB RUSSIAN TWISTS</t>
  </si>
  <si>
    <t>2x5</t>
  </si>
  <si>
    <t>FORWARD LUNGES</t>
  </si>
  <si>
    <t>CYCLIC HOPS (R/L)</t>
  </si>
  <si>
    <t>HYDRANT TO FONDA</t>
  </si>
  <si>
    <t>2x8</t>
  </si>
  <si>
    <t>SL SQUAT JUMPS  (R/L)</t>
  </si>
  <si>
    <t>HYDRANTS / FONDA'S / HIP CIRCLES</t>
  </si>
  <si>
    <t>3x1</t>
  </si>
  <si>
    <t>SPEED SKATER</t>
  </si>
  <si>
    <t>3x10</t>
  </si>
  <si>
    <t>KNEE TO ELBOWS</t>
  </si>
  <si>
    <t>3x12</t>
  </si>
  <si>
    <t>STAR JUMPS</t>
  </si>
  <si>
    <t>3x15</t>
  </si>
  <si>
    <t>TRICEP DIPS</t>
  </si>
  <si>
    <t>KNEELING SIDE KICK</t>
  </si>
  <si>
    <t>3x3</t>
  </si>
  <si>
    <t>TUCK JUMPS</t>
  </si>
  <si>
    <t>KNEELING SL LIFTS (SIDE)</t>
  </si>
  <si>
    <t>3x5</t>
  </si>
  <si>
    <t>IN PLACE LUNGES</t>
  </si>
  <si>
    <t>3x8</t>
  </si>
  <si>
    <t>PRISONER SQUATS</t>
  </si>
  <si>
    <t>LOWER TRUNK ROTATION</t>
  </si>
  <si>
    <t>4x1</t>
  </si>
  <si>
    <t>SUPERMAN</t>
  </si>
  <si>
    <t>MARCHING BRIDGE</t>
  </si>
  <si>
    <t>4x10</t>
  </si>
  <si>
    <t>5 COUNT SUPERMAN</t>
  </si>
  <si>
    <t>MB TOE TOUCHES - LL</t>
  </si>
  <si>
    <t>4x15</t>
  </si>
  <si>
    <t>POWER PUSHUPS</t>
  </si>
  <si>
    <t>MB TOE TOUCHES - NORMAL</t>
  </si>
  <si>
    <t>4x20</t>
  </si>
  <si>
    <t>SQUAT WALKS</t>
  </si>
  <si>
    <t>MB TOE TOUCHES - RL</t>
  </si>
  <si>
    <t>4x3</t>
  </si>
  <si>
    <t>PLANK IN / OUTS</t>
  </si>
  <si>
    <t>MB VUPS</t>
  </si>
  <si>
    <t>4x4</t>
  </si>
  <si>
    <t>INCLINE PUSHUPS - LH</t>
  </si>
  <si>
    <t>PELVIC TILTS – DOUBLE LEG</t>
  </si>
  <si>
    <t>4x5</t>
  </si>
  <si>
    <t>INCLINE PUSHUPS - NARROW</t>
  </si>
  <si>
    <t>PELVIC TILTS – SINGLE LEG (EACH SIDE)</t>
  </si>
  <si>
    <t>4x6</t>
  </si>
  <si>
    <t>PLANK</t>
  </si>
  <si>
    <t>4x8</t>
  </si>
  <si>
    <t>PLANK (ELBOW) - SINGLE LEG RAISE (L&amp;R)</t>
  </si>
  <si>
    <t>5x1</t>
  </si>
  <si>
    <t>PRONE, HAND ST. FLEXED KNEE, BUTT KICK</t>
  </si>
  <si>
    <t>5x2</t>
  </si>
  <si>
    <t>RB WIDE LEG WALK</t>
  </si>
  <si>
    <t>5x3</t>
  </si>
  <si>
    <t>REVERSE CRUNCH</t>
  </si>
  <si>
    <t>5x4</t>
  </si>
  <si>
    <t>RUSSIAN TWIST</t>
  </si>
  <si>
    <t>5x5</t>
  </si>
  <si>
    <t>SCISSORS</t>
  </si>
  <si>
    <t>5x6</t>
  </si>
  <si>
    <t>SEATED LEG LIFTS</t>
  </si>
  <si>
    <t>5x8</t>
  </si>
  <si>
    <t>SIDE PLANK (ELBOW) - SINGLE LEG RAISE</t>
  </si>
  <si>
    <t>6x4</t>
  </si>
  <si>
    <t>SIDE PLANK (HANDSTAND) - SINGLE LEG RAISE</t>
  </si>
  <si>
    <t>AMRAP</t>
  </si>
  <si>
    <t>SIDE SWINGS</t>
  </si>
  <si>
    <t>SL BALANCE</t>
  </si>
  <si>
    <t>TimeBased</t>
  </si>
  <si>
    <t>SPIDERMANS</t>
  </si>
  <si>
    <t xml:space="preserve"> 30s/15s</t>
  </si>
  <si>
    <t>SQUAT PUMP W RB</t>
  </si>
  <si>
    <t xml:space="preserve"> 40s/20s</t>
  </si>
  <si>
    <t>ST ARM SIT-UPS</t>
  </si>
  <si>
    <t>40s</t>
  </si>
  <si>
    <t>60s</t>
  </si>
  <si>
    <t>SUPINE, ELBOW STAND, SINGLE LEG RAISE</t>
  </si>
  <si>
    <t>SUPINE, HAND STAND, SINGLE LEG RAISE</t>
  </si>
  <si>
    <t>Compound Sets</t>
  </si>
  <si>
    <t>3x1,1,1</t>
  </si>
  <si>
    <t>V UPS</t>
  </si>
  <si>
    <t>3x3,1,1</t>
  </si>
  <si>
    <t>V-SIT</t>
  </si>
  <si>
    <t>3x3,3,1</t>
  </si>
  <si>
    <t>YOGA BIRD DOG</t>
  </si>
  <si>
    <t>3x5,3,1</t>
  </si>
  <si>
    <t>WTD SL DEADLIFTS</t>
  </si>
  <si>
    <t>3x5,3,3</t>
  </si>
  <si>
    <t>BICYCLES</t>
  </si>
  <si>
    <t>3x5,5,3</t>
  </si>
  <si>
    <t>LYING LEG LIFTS</t>
  </si>
  <si>
    <t>5x3,3,1,1,1</t>
  </si>
  <si>
    <t>LYING LIFT AND ADDUCTION</t>
  </si>
  <si>
    <t>5x3,3,3,1,1</t>
  </si>
  <si>
    <t>STANDING LATERAL LEG LIFT</t>
  </si>
  <si>
    <t>5x3,5,7,5,3</t>
  </si>
  <si>
    <t>REVERSE CRUNCH LL</t>
  </si>
  <si>
    <t>5x5,3,3,1,1</t>
  </si>
  <si>
    <t>REVERSE CRUNCH RL</t>
  </si>
  <si>
    <t>5x5,5,3,3,3</t>
  </si>
  <si>
    <t>DYNAMIC BIRD DOG</t>
  </si>
  <si>
    <t>5x7,3,5,3,7</t>
  </si>
  <si>
    <t>BENT KNEE LEG LIFTS (LYING)</t>
  </si>
  <si>
    <t>5x7,5,5,3,3</t>
  </si>
  <si>
    <t>W LEG LIFTS</t>
  </si>
  <si>
    <t>5x7,5,7,5,3</t>
  </si>
  <si>
    <t>WIPERS</t>
  </si>
  <si>
    <t>5x7,7,5,5,3</t>
  </si>
  <si>
    <t>SCORPION</t>
  </si>
  <si>
    <t>IRON CROSS</t>
  </si>
  <si>
    <t>5x5 @ 75%</t>
  </si>
  <si>
    <t>5x3 @ 85%</t>
  </si>
  <si>
    <t>5x2 @ 90%</t>
  </si>
  <si>
    <t>5x1 @ 95%</t>
  </si>
  <si>
    <t>TEST WEEK / REST WEEK</t>
  </si>
  <si>
    <t>Monday</t>
  </si>
  <si>
    <t>Tuesday</t>
  </si>
  <si>
    <t>Wednesday</t>
  </si>
  <si>
    <t>Thursday</t>
  </si>
  <si>
    <t>Friday</t>
  </si>
  <si>
    <t>SATURDAY COMPETITION</t>
  </si>
  <si>
    <t>CLEANS FROM FLOOR</t>
  </si>
  <si>
    <t>BACK SQUATS</t>
  </si>
  <si>
    <t xml:space="preserve">Overhead Back throw </t>
  </si>
  <si>
    <t xml:space="preserve">Standing Long Jump </t>
  </si>
  <si>
    <t xml:space="preserve">Pushup </t>
  </si>
  <si>
    <t xml:space="preserve">30 m </t>
  </si>
  <si>
    <t>Stand throw - Overweight</t>
  </si>
  <si>
    <r>
      <t xml:space="preserve">SNATCH FROM HANG
</t>
    </r>
    <r>
      <rPr>
        <i/>
        <sz val="9"/>
        <color theme="1"/>
        <rFont val="Calibri"/>
        <family val="2"/>
        <scheme val="minor"/>
      </rPr>
      <t>(SENIORS)</t>
    </r>
  </si>
  <si>
    <t xml:space="preserve">3 Jump Test </t>
  </si>
  <si>
    <t>1 minute St Arm Sit Ups</t>
  </si>
  <si>
    <t>Stand throw - Standard</t>
  </si>
  <si>
    <t xml:space="preserve">SL hops </t>
  </si>
  <si>
    <t xml:space="preserve">One Lap Test </t>
  </si>
  <si>
    <t>PLEASE WARM UP PROPERLY EVERY DAY.  
YOUR BEST EFFORTS WILL BE REQUIRED
FOR WEIGHTS PLAN FOR 6 GOOD ATTEMPTS, WE ARE LOOKING FOR YOUR BEST.  YOU WILL START AT 80% OF YOUR CURRENT 1RM 
(EG: BENCH PRESS MAX = 200 / STARTING WEIGHT 160LBS FOR 3 REPS)</t>
  </si>
  <si>
    <t xml:space="preserve">MICROCYCLE </t>
  </si>
  <si>
    <r>
      <t xml:space="preserve">Athlete Name: </t>
    </r>
    <r>
      <rPr>
        <b/>
        <u/>
        <sz val="11"/>
        <color rgb="FF000000"/>
        <rFont val="Calibri"/>
        <family val="2"/>
      </rPr>
      <t xml:space="preserve"> </t>
    </r>
  </si>
  <si>
    <t>Chronological Age:</t>
  </si>
  <si>
    <r>
      <t xml:space="preserve">Training Age: </t>
    </r>
    <r>
      <rPr>
        <u/>
        <sz val="11"/>
        <color rgb="FF000000"/>
        <rFont val="Calibri"/>
        <family val="2"/>
      </rPr>
      <t xml:space="preserve"> </t>
    </r>
    <r>
      <rPr>
        <sz val="11"/>
        <color rgb="FF000000"/>
        <rFont val="Calibri"/>
        <family val="2"/>
      </rPr>
      <t>years</t>
    </r>
  </si>
  <si>
    <t>GENDER:</t>
  </si>
  <si>
    <t>PERSONAL BEST</t>
  </si>
  <si>
    <t>Biological Age:</t>
  </si>
  <si>
    <r>
      <t xml:space="preserve">Event 1: </t>
    </r>
    <r>
      <rPr>
        <b/>
        <u/>
        <sz val="11"/>
        <color rgb="FF000000"/>
        <rFont val="Calibri"/>
        <family val="2"/>
      </rPr>
      <t xml:space="preserve"> </t>
    </r>
  </si>
  <si>
    <r>
      <t xml:space="preserve">Season Best: </t>
    </r>
    <r>
      <rPr>
        <u/>
        <sz val="11"/>
        <color rgb="FF000000"/>
        <rFont val="Calibri"/>
        <family val="2"/>
      </rPr>
      <t xml:space="preserve"> </t>
    </r>
  </si>
  <si>
    <t>WEEK #</t>
  </si>
  <si>
    <r>
      <t xml:space="preserve">Event 2: </t>
    </r>
    <r>
      <rPr>
        <b/>
        <u/>
        <sz val="11"/>
        <color rgb="FF000000"/>
        <rFont val="Calibri"/>
        <family val="2"/>
      </rPr>
      <t xml:space="preserve"> </t>
    </r>
  </si>
  <si>
    <t>WEEK 3 / 4</t>
  </si>
  <si>
    <t xml:space="preserve">TRAIING PERIOD   </t>
  </si>
  <si>
    <t>GENERAL PREPARATION 2</t>
  </si>
  <si>
    <t>TRAINING PHASE</t>
  </si>
  <si>
    <t>POWER DEVELOPMENT / TECHNICAL EFFICIENCY</t>
  </si>
  <si>
    <t>WEEKLY GOALS</t>
  </si>
  <si>
    <t>IMPROVED FOOTWORK / MOVEMENT ACROSS CIRCLE / TRANSFERANCE OF POWER INTO IMPLEMENT</t>
  </si>
  <si>
    <t>TRAINING EMPHASIS</t>
  </si>
  <si>
    <t>SESSION DETAILS</t>
  </si>
  <si>
    <t>MONDAY</t>
  </si>
  <si>
    <t>TUESDAY</t>
  </si>
  <si>
    <t>WEDNESDAY</t>
  </si>
  <si>
    <t>THURSDAY</t>
  </si>
  <si>
    <t>FRIDAY</t>
  </si>
  <si>
    <t>SATURDAY</t>
  </si>
  <si>
    <t>SUNDAY</t>
  </si>
  <si>
    <t>WARM UP 1</t>
  </si>
  <si>
    <t>5 MINUTES SKIPPING</t>
  </si>
  <si>
    <t>5 x 80m</t>
  </si>
  <si>
    <t>WESLEY POWELL</t>
  </si>
  <si>
    <t>COMPLETE REST</t>
  </si>
  <si>
    <t>WARM UP 2</t>
  </si>
  <si>
    <t>10 Minutes
DYNAMIC STRETCHING</t>
  </si>
  <si>
    <t>DYNAMIC STRETCHING</t>
  </si>
  <si>
    <t>90 sec between sets</t>
  </si>
  <si>
    <t>EXERCISE</t>
  </si>
  <si>
    <t>BACK SQUATS - FULL</t>
  </si>
  <si>
    <t>HURDLE MOBILITY</t>
  </si>
  <si>
    <t>2 X 40
Fire Hydrants (L/R) 
Hip Circles (L/R)
Heel to Ceiling</t>
  </si>
  <si>
    <t>SET / REPS</t>
  </si>
  <si>
    <t>7 X 5,3,5,3,5,5,3</t>
  </si>
  <si>
    <t>7, 5, 3, 3, 5</t>
  </si>
  <si>
    <t>2 X 8 HURDLES</t>
  </si>
  <si>
    <t>7 X 3</t>
  </si>
  <si>
    <t>CORE WORK</t>
  </si>
  <si>
    <t>DB FORWARD LUNGES</t>
  </si>
  <si>
    <t>MACHINE ROWS</t>
  </si>
  <si>
    <t>40 St Arm Sit Ups</t>
  </si>
  <si>
    <r>
      <rPr>
        <b/>
        <sz val="11"/>
        <color theme="1"/>
        <rFont val="Biome"/>
        <family val="2"/>
      </rPr>
      <t xml:space="preserve">4 x 20 </t>
    </r>
    <r>
      <rPr>
        <sz val="11"/>
        <color theme="1"/>
        <rFont val="Biome"/>
        <family val="2"/>
      </rPr>
      <t xml:space="preserve">
- Leg Extension
- Nordic Curls
- Single Leg Squats
- DB Split Squats
- DB Side Squats</t>
    </r>
  </si>
  <si>
    <t>5 EACH SIDE 
(AFTER EACH SET)</t>
  </si>
  <si>
    <t>8 Reps after each set 
(AFTER EACH SET)</t>
  </si>
  <si>
    <t>20 Bicycles</t>
  </si>
  <si>
    <t>5 X 3</t>
  </si>
  <si>
    <t>DB SHOULDER PRESS</t>
  </si>
  <si>
    <t>40 Starfish</t>
  </si>
  <si>
    <t>SL - 4 X 12 (65LB)</t>
  </si>
  <si>
    <t>5 X 8</t>
  </si>
  <si>
    <t>20 Crunches</t>
  </si>
  <si>
    <t>4 X 12</t>
  </si>
  <si>
    <r>
      <rPr>
        <b/>
        <sz val="11"/>
        <color theme="1"/>
        <rFont val="Biome"/>
        <family val="2"/>
      </rPr>
      <t xml:space="preserve">Abs / Core </t>
    </r>
    <r>
      <rPr>
        <sz val="11"/>
        <color theme="1"/>
        <rFont val="Biome"/>
        <family val="2"/>
      </rPr>
      <t xml:space="preserve">
</t>
    </r>
    <r>
      <rPr>
        <b/>
        <sz val="11"/>
        <color theme="1"/>
        <rFont val="Biome"/>
        <family val="2"/>
      </rPr>
      <t>– 30 each</t>
    </r>
    <r>
      <rPr>
        <sz val="11"/>
        <color theme="1"/>
        <rFont val="Biome"/>
        <family val="2"/>
      </rPr>
      <t xml:space="preserve">
-	Reverse Crunch
-	St Arm Sit-Ups
-	Heel Touches
-	Bicycles
- Knee Touches</t>
    </r>
  </si>
  <si>
    <r>
      <t xml:space="preserve">WEIGHT OHEAD
LOW BOX STEP UPS
</t>
    </r>
    <r>
      <rPr>
        <b/>
        <sz val="11"/>
        <color rgb="FF000000"/>
        <rFont val="Calibri"/>
        <family val="2"/>
      </rPr>
      <t>QUICK</t>
    </r>
  </si>
  <si>
    <t>ROTATOR CUFF
SHRUGS
SHOULDER ROTATION
SMALL / LARGE CIRCLES
3 WAY FLYS</t>
  </si>
  <si>
    <t xml:space="preserve">40 Superman
20 Obliques
40 Toe Touches
20 Butterfly Crunches </t>
  </si>
  <si>
    <t>4 X 5
LOW HURDLE HOPS
2 X 8
FWD CONE HOPS
2 X 20m LINE HOPS</t>
  </si>
  <si>
    <t>45lb / 35lb / 25lb
5 X 8</t>
  </si>
  <si>
    <t>2 x 15</t>
  </si>
  <si>
    <t>40 Heel touches</t>
  </si>
  <si>
    <t>2 X 10 FWD &amp; BACK JUMPS</t>
  </si>
  <si>
    <t xml:space="preserve">2 x 30
Bar Twists
Ohead Bar Twists
</t>
  </si>
  <si>
    <t>SPRINTS</t>
  </si>
  <si>
    <t>20 Knee Touches</t>
  </si>
  <si>
    <t>5 X 20m / 3 min</t>
  </si>
  <si>
    <t>FULL BODY STRETCHING
EXTENSIVE MOBILITY WORK</t>
  </si>
  <si>
    <t>4 X 20m / 30m / 20m / 20m
Full effort / Full Recovery</t>
  </si>
  <si>
    <t>RECOVERY</t>
  </si>
  <si>
    <t>15 MINUTES BREAK</t>
  </si>
  <si>
    <t>THROWS / DRILLS</t>
  </si>
  <si>
    <t>WARM UP DRILLS
BALL THROWS X 5</t>
  </si>
  <si>
    <t>COMPETITION WARM UP</t>
  </si>
  <si>
    <t>4 X 5 STANDS</t>
  </si>
  <si>
    <t>OVERWEIGHT</t>
  </si>
  <si>
    <t>4 X 5 STANDS
4 X 4 STEP TURNS</t>
  </si>
  <si>
    <t>4 X 4 STEP / 1/2 TURNS</t>
  </si>
  <si>
    <t>FULL EXTENSION.  Working on timing
ANKLE / KNEE / HIPS / ARM / Fingers</t>
  </si>
  <si>
    <t>Focus on full extension / staying grounded / long ball contact</t>
  </si>
  <si>
    <t>COOL DOWN</t>
  </si>
  <si>
    <t>1 LAP
Static stretching
Lower leg emphasis / Hold for 20 count</t>
  </si>
  <si>
    <t>4 x 100m
Static stretching
Upper Body emphasis / Hold for 20 count</t>
  </si>
  <si>
    <t>BACK SQUATS - BOX</t>
  </si>
  <si>
    <t>BACK SQUATS - 1/4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</si>
</sst>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
    <numFmt numFmtId="166" formatCode="dd\-mmm\-yy"/>
    <numFmt numFmtId="167" formatCode="0.0%"/>
  </numFmts>
  <fonts count="46" x14ac:knownFonts="1">
    <font>
      <sz val="11"/>
      <color theme="1"/>
      <name val="Calibri"/>
      <family val="2"/>
      <charset val="1"/>
    </font>
    <font>
      <sz val="11"/>
      <color theme="1"/>
      <name val="Calibri"/>
      <family val="2"/>
      <scheme val="minor"/>
    </font>
    <font>
      <b/>
      <sz val="16"/>
      <color rgb="FF1E7B34"/>
      <name val="Arial"/>
      <charset val="1"/>
    </font>
    <font>
      <b/>
      <sz val="11"/>
      <color rgb="FF555555"/>
      <name val="Arial"/>
      <charset val="1"/>
    </font>
    <font>
      <sz val="10"/>
      <name val="Arial"/>
      <charset val="1"/>
    </font>
    <font>
      <b/>
      <sz val="12"/>
      <color rgb="FFFFFFFF"/>
      <name val="Arial"/>
      <charset val="1"/>
    </font>
    <font>
      <b/>
      <sz val="11"/>
      <color rgb="FFFFFFFF"/>
      <name val="Arial"/>
      <charset val="1"/>
    </font>
    <font>
      <sz val="10"/>
      <color rgb="FF0000FF"/>
      <name val="Arial"/>
      <charset val="1"/>
    </font>
    <font>
      <b/>
      <sz val="10"/>
      <name val="Arial"/>
      <charset val="1"/>
    </font>
    <font>
      <b/>
      <sz val="10"/>
      <color rgb="FF0000FF"/>
      <name val="Arial"/>
      <charset val="1"/>
    </font>
    <font>
      <i/>
      <sz val="9"/>
      <color rgb="FF777777"/>
      <name val="Arial"/>
      <charset val="1"/>
    </font>
    <font>
      <b/>
      <sz val="14"/>
      <color rgb="FF1E7B34"/>
      <name val="Arial"/>
      <charset val="1"/>
    </font>
    <font>
      <b/>
      <sz val="11"/>
      <color rgb="FF0000FF"/>
      <name val="Arial"/>
      <charset val="1"/>
    </font>
    <font>
      <b/>
      <sz val="12"/>
      <color rgb="FF1E7B34"/>
      <name val="Arial"/>
      <charset val="1"/>
    </font>
    <font>
      <b/>
      <sz val="11"/>
      <color rgb="FF1E7B34"/>
      <name val="Arial"/>
      <charset val="1"/>
    </font>
    <font>
      <b/>
      <sz val="12"/>
      <color rgb="FF0000FF"/>
      <name val="Arial"/>
      <charset val="1"/>
    </font>
    <font>
      <b/>
      <sz val="8"/>
      <color rgb="FFFFFFFF"/>
      <name val="Arial"/>
      <charset val="1"/>
    </font>
    <font>
      <b/>
      <sz val="10"/>
      <color rgb="FF1E7B34"/>
      <name val="Arial"/>
      <charset val="1"/>
    </font>
    <font>
      <sz val="9"/>
      <color rgb="FF0000FF"/>
      <name val="Arial"/>
      <charset val="1"/>
    </font>
    <font>
      <sz val="11"/>
      <color rgb="FF3F3F76"/>
      <name val="Calibri"/>
      <family val="2"/>
      <scheme val="minor"/>
    </font>
    <font>
      <b/>
      <sz val="11"/>
      <color rgb="FF3F3F3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2"/>
      <color theme="1"/>
      <name val="Calibri"/>
      <family val="2"/>
      <scheme val="minor"/>
    </font>
    <font>
      <sz val="12"/>
      <name val="Calibri"/>
      <family val="2"/>
      <scheme val="minor"/>
    </font>
    <font>
      <sz val="10"/>
      <color theme="1"/>
      <name val="Calibri"/>
      <family val="2"/>
      <scheme val="minor"/>
    </font>
    <font>
      <sz val="10"/>
      <name val="Calibri"/>
      <family val="2"/>
      <scheme val="minor"/>
    </font>
    <font>
      <b/>
      <sz val="10"/>
      <color theme="1"/>
      <name val="Calibri"/>
      <family val="2"/>
      <scheme val="minor"/>
    </font>
    <font>
      <b/>
      <sz val="16"/>
      <color theme="1"/>
      <name val="Abadi"/>
      <family val="2"/>
    </font>
    <font>
      <sz val="14"/>
      <color theme="1"/>
      <name val="Calibri"/>
      <family val="2"/>
      <scheme val="minor"/>
    </font>
    <font>
      <i/>
      <sz val="9"/>
      <color theme="1"/>
      <name val="Calibri"/>
      <family val="2"/>
      <scheme val="minor"/>
    </font>
    <font>
      <b/>
      <sz val="14"/>
      <color theme="1"/>
      <name val="Calibri"/>
      <family val="2"/>
      <scheme val="minor"/>
    </font>
    <font>
      <sz val="10"/>
      <color rgb="FF000000"/>
      <name val="Times New Roman"/>
      <family val="1"/>
    </font>
    <font>
      <b/>
      <sz val="11"/>
      <name val="Calibri"/>
      <family val="2"/>
    </font>
    <font>
      <sz val="11"/>
      <color rgb="FF000000"/>
      <name val="Calibri"/>
      <family val="2"/>
    </font>
    <font>
      <b/>
      <sz val="11"/>
      <color rgb="FF000000"/>
      <name val="Calibri"/>
      <family val="2"/>
    </font>
    <font>
      <b/>
      <u/>
      <sz val="11"/>
      <color rgb="FF000000"/>
      <name val="Calibri"/>
      <family val="2"/>
    </font>
    <font>
      <u/>
      <sz val="11"/>
      <color rgb="FF000000"/>
      <name val="Calibri"/>
      <family val="2"/>
    </font>
    <font>
      <b/>
      <sz val="11"/>
      <color rgb="FF3F3F3F"/>
      <name val="Calibri"/>
      <family val="2"/>
    </font>
    <font>
      <sz val="11"/>
      <color theme="1"/>
      <name val="Biome"/>
      <family val="2"/>
    </font>
    <font>
      <b/>
      <sz val="11"/>
      <color theme="1"/>
      <name val="Calibri"/>
      <family val="2"/>
    </font>
    <font>
      <b/>
      <sz val="11"/>
      <color rgb="FF3F3F76"/>
      <name val="Calibri"/>
      <family val="2"/>
      <scheme val="minor"/>
    </font>
    <font>
      <b/>
      <sz val="11"/>
      <color theme="1"/>
      <name val="Biome"/>
      <family val="2"/>
    </font>
    <font>
      <b/>
      <sz val="11"/>
      <color theme="0"/>
      <name val="Calibri"/>
      <family val="2"/>
    </font>
    <font>
      <sz val="11"/>
      <color indexed="8"/>
      <name val="Calibri"/>
      <family val="2"/>
    </font>
  </fonts>
  <fills count="17">
    <fill>
      <patternFill patternType="none"/>
    </fill>
    <fill>
      <patternFill patternType="gray125"/>
    </fill>
    <fill>
      <patternFill patternType="solid">
        <fgColor rgb="FF1E7B34"/>
        <bgColor rgb="FF008080"/>
      </patternFill>
    </fill>
    <fill>
      <patternFill patternType="solid">
        <fgColor rgb="FFFFF3CC"/>
        <bgColor rgb="FFE7F2E9"/>
      </patternFill>
    </fill>
    <fill>
      <patternFill patternType="solid">
        <fgColor rgb="FFE8B923"/>
        <bgColor rgb="FFFF9900"/>
      </patternFill>
    </fill>
    <fill>
      <patternFill patternType="solid">
        <fgColor rgb="FFE7F2E9"/>
        <bgColor rgb="FFFFF3CC"/>
      </patternFill>
    </fill>
    <fill>
      <patternFill patternType="solid">
        <fgColor rgb="FFFFCC99"/>
      </patternFill>
    </fill>
    <fill>
      <patternFill patternType="solid">
        <fgColor rgb="FFF2F2F2"/>
      </patternFill>
    </fill>
    <fill>
      <patternFill patternType="solid">
        <fgColor rgb="FFFFFFCC"/>
      </patternFill>
    </fill>
    <fill>
      <patternFill patternType="solid">
        <fgColor theme="4"/>
      </patternFill>
    </fill>
    <fill>
      <patternFill patternType="solid">
        <fgColor rgb="FFF1C232"/>
        <bgColor rgb="FFF1C232"/>
      </patternFill>
    </fill>
    <fill>
      <patternFill patternType="solid">
        <fgColor theme="0" tint="-0.14999847407452621"/>
        <bgColor theme="0" tint="-0.14999847407452621"/>
      </patternFill>
    </fill>
    <fill>
      <patternFill patternType="solid">
        <fgColor rgb="FF6FA8DC"/>
        <bgColor rgb="FF6FA8DC"/>
      </patternFill>
    </fill>
    <fill>
      <patternFill patternType="solid">
        <fgColor rgb="FF9FC5E8"/>
        <bgColor rgb="FF9FC5E8"/>
      </patternFill>
    </fill>
    <fill>
      <patternFill patternType="solid">
        <fgColor rgb="FFFFFF00"/>
        <bgColor indexed="64"/>
      </patternFill>
    </fill>
    <fill>
      <patternFill patternType="solid">
        <fgColor theme="2" tint="-9.9978637043366805E-2"/>
        <bgColor indexed="64"/>
      </patternFill>
    </fill>
    <fill>
      <patternFill patternType="solid">
        <fgColor theme="0" tint="-0.14999847407452621"/>
        <bgColor indexed="64"/>
      </patternFill>
    </fill>
  </fills>
  <borders count="47">
    <border>
      <left/>
      <right/>
      <top/>
      <bottom/>
      <diagonal/>
    </border>
    <border>
      <left style="thin">
        <color rgb="FFBBBBBB"/>
      </left>
      <right style="thin">
        <color rgb="FFBBBBBB"/>
      </right>
      <top style="thin">
        <color rgb="FFBBBBBB"/>
      </top>
      <bottom style="thin">
        <color rgb="FFBBBBBB"/>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medium">
        <color rgb="FF000000"/>
      </left>
      <right style="medium">
        <color rgb="FF000000"/>
      </right>
      <top/>
      <bottom style="dotted">
        <color rgb="FF000000"/>
      </bottom>
      <diagonal/>
    </border>
    <border>
      <left style="medium">
        <color rgb="FF000000"/>
      </left>
      <right/>
      <top/>
      <bottom style="dotted">
        <color rgb="FF000000"/>
      </bottom>
      <diagonal/>
    </border>
    <border>
      <left/>
      <right/>
      <top/>
      <bottom style="dotted">
        <color rgb="FF000000"/>
      </bottom>
      <diagonal/>
    </border>
    <border>
      <left/>
      <right style="medium">
        <color rgb="FF000000"/>
      </right>
      <top style="medium">
        <color rgb="FF000000"/>
      </top>
      <bottom style="dotted">
        <color rgb="FF000000"/>
      </bottom>
      <diagonal/>
    </border>
    <border>
      <left style="medium">
        <color rgb="FF000000"/>
      </left>
      <right style="medium">
        <color rgb="FF000000"/>
      </right>
      <top style="dotted">
        <color rgb="FF000000"/>
      </top>
      <bottom style="dotted">
        <color rgb="FF000000"/>
      </bottom>
      <diagonal/>
    </border>
    <border>
      <left style="medium">
        <color rgb="FF000000"/>
      </left>
      <right/>
      <top style="dotted">
        <color rgb="FF000000"/>
      </top>
      <bottom style="dotted">
        <color rgb="FF000000"/>
      </bottom>
      <diagonal/>
    </border>
    <border>
      <left/>
      <right/>
      <top style="dotted">
        <color rgb="FF000000"/>
      </top>
      <bottom style="dotted">
        <color rgb="FF000000"/>
      </bottom>
      <diagonal/>
    </border>
    <border>
      <left/>
      <right style="medium">
        <color rgb="FF000000"/>
      </right>
      <top style="dotted">
        <color rgb="FF000000"/>
      </top>
      <bottom style="dotted">
        <color rgb="FF000000"/>
      </bottom>
      <diagonal/>
    </border>
    <border>
      <left/>
      <right/>
      <top style="dotted">
        <color rgb="FF000000"/>
      </top>
      <bottom/>
      <diagonal/>
    </border>
    <border>
      <left style="thin">
        <color theme="1"/>
      </left>
      <right style="thin">
        <color theme="1"/>
      </right>
      <top style="thin">
        <color indexed="64"/>
      </top>
      <bottom/>
      <diagonal/>
    </border>
    <border>
      <left style="thin">
        <color theme="1"/>
      </left>
      <right style="thin">
        <color theme="1"/>
      </right>
      <top style="thin">
        <color theme="1"/>
      </top>
      <bottom/>
      <diagonal/>
    </border>
    <border>
      <left style="thin">
        <color theme="8" tint="0.39997558519241921"/>
      </left>
      <right style="thin">
        <color theme="8" tint="0.39997558519241921"/>
      </right>
      <top style="thin">
        <color indexed="64"/>
      </top>
      <bottom/>
      <diagonal/>
    </border>
    <border>
      <left style="thin">
        <color theme="8" tint="0.39997558519241921"/>
      </left>
      <right style="thin">
        <color theme="8" tint="0.39997558519241921"/>
      </right>
      <top style="thin">
        <color theme="8" tint="0.39997558519241921"/>
      </top>
      <bottom/>
      <diagonal/>
    </border>
    <border>
      <left style="medium">
        <color rgb="FF000000"/>
      </left>
      <right style="medium">
        <color rgb="FF000000"/>
      </right>
      <top style="dotted">
        <color rgb="FF000000"/>
      </top>
      <bottom style="medium">
        <color rgb="FF000000"/>
      </bottom>
      <diagonal/>
    </border>
    <border>
      <left style="medium">
        <color rgb="FF000000"/>
      </left>
      <right style="medium">
        <color rgb="FF000000"/>
      </right>
      <top style="thin">
        <color theme="1"/>
      </top>
      <bottom style="dotted">
        <color rgb="FF000000"/>
      </bottom>
      <diagonal/>
    </border>
    <border>
      <left style="thin">
        <color theme="1"/>
      </left>
      <right style="thin">
        <color theme="1"/>
      </right>
      <top style="thin">
        <color indexed="64"/>
      </top>
      <bottom style="thin">
        <color theme="1"/>
      </bottom>
      <diagonal/>
    </border>
    <border>
      <left style="thin">
        <color theme="1"/>
      </left>
      <right style="thin">
        <color theme="1"/>
      </right>
      <top style="thin">
        <color theme="1"/>
      </top>
      <bottom style="thin">
        <color theme="1"/>
      </bottom>
      <diagonal/>
    </border>
    <border>
      <left style="medium">
        <color theme="3" tint="0.39991454817346722"/>
      </left>
      <right style="thin">
        <color theme="3" tint="0.39994506668294322"/>
      </right>
      <top style="medium">
        <color theme="3" tint="0.39991454817346722"/>
      </top>
      <bottom style="thin">
        <color theme="3" tint="0.39994506668294322"/>
      </bottom>
      <diagonal/>
    </border>
    <border>
      <left style="thin">
        <color theme="3" tint="0.39994506668294322"/>
      </left>
      <right style="thin">
        <color theme="3" tint="0.39994506668294322"/>
      </right>
      <top style="medium">
        <color theme="3" tint="0.39991454817346722"/>
      </top>
      <bottom style="thin">
        <color theme="3" tint="0.39994506668294322"/>
      </bottom>
      <diagonal/>
    </border>
    <border>
      <left style="thin">
        <color theme="3" tint="0.39994506668294322"/>
      </left>
      <right style="medium">
        <color theme="3" tint="0.39991454817346722"/>
      </right>
      <top style="medium">
        <color theme="3" tint="0.39991454817346722"/>
      </top>
      <bottom style="thin">
        <color theme="3" tint="0.39994506668294322"/>
      </bottom>
      <diagonal/>
    </border>
    <border>
      <left style="medium">
        <color theme="3" tint="0.39991454817346722"/>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style="medium">
        <color theme="3" tint="0.39991454817346722"/>
      </right>
      <top style="thin">
        <color theme="3" tint="0.39994506668294322"/>
      </top>
      <bottom style="thin">
        <color theme="3" tint="0.39994506668294322"/>
      </bottom>
      <diagonal/>
    </border>
    <border>
      <left style="medium">
        <color theme="3" tint="0.39991454817346722"/>
      </left>
      <right style="medium">
        <color theme="3" tint="0.39991454817346722"/>
      </right>
      <top style="thin">
        <color theme="3" tint="0.39994506668294322"/>
      </top>
      <bottom/>
      <diagonal/>
    </border>
    <border>
      <left style="thin">
        <color auto="1"/>
      </left>
      <right style="thin">
        <color auto="1"/>
      </right>
      <top style="thin">
        <color auto="1"/>
      </top>
      <bottom style="medium">
        <color auto="1"/>
      </bottom>
      <diagonal/>
    </border>
    <border>
      <left style="medium">
        <color theme="3" tint="0.39991454817346722"/>
      </left>
      <right style="medium">
        <color theme="3" tint="0.39991454817346722"/>
      </right>
      <top/>
      <bottom/>
      <diagonal/>
    </border>
    <border>
      <left/>
      <right style="medium">
        <color theme="3" tint="0.39991454817346722"/>
      </right>
      <top/>
      <bottom/>
      <diagonal/>
    </border>
    <border>
      <left style="medium">
        <color theme="3" tint="0.39991454817346722"/>
      </left>
      <right style="thin">
        <color theme="3" tint="0.39994506668294322"/>
      </right>
      <top style="thin">
        <color theme="3" tint="0.39994506668294322"/>
      </top>
      <bottom/>
      <diagonal/>
    </border>
    <border>
      <left style="thin">
        <color theme="3" tint="0.39994506668294322"/>
      </left>
      <right style="thin">
        <color theme="3" tint="0.39994506668294322"/>
      </right>
      <top style="thin">
        <color theme="3" tint="0.39994506668294322"/>
      </top>
      <bottom/>
      <diagonal/>
    </border>
    <border>
      <left style="thin">
        <color theme="3" tint="0.39994506668294322"/>
      </left>
      <right style="medium">
        <color theme="3" tint="0.39991454817346722"/>
      </right>
      <top style="thin">
        <color theme="3" tint="0.39994506668294322"/>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thin">
        <color rgb="FFB2B2B2"/>
      </left>
      <right/>
      <top style="thin">
        <color rgb="FFB2B2B2"/>
      </top>
      <bottom style="thin">
        <color rgb="FFB2B2B2"/>
      </bottom>
      <diagonal/>
    </border>
    <border>
      <left style="thin">
        <color rgb="FFB2B2B2"/>
      </left>
      <right style="thin">
        <color rgb="FFB2B2B2"/>
      </right>
      <top/>
      <bottom style="thin">
        <color rgb="FFB2B2B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style="thin">
        <color auto="1"/>
      </right>
      <top/>
      <bottom style="thin">
        <color auto="1"/>
      </bottom>
      <diagonal/>
    </border>
    <border>
      <left style="medium">
        <color rgb="FF000000"/>
      </left>
      <right style="thin">
        <color theme="1"/>
      </right>
      <top style="dotted">
        <color rgb="FF000000"/>
      </top>
      <bottom style="thin">
        <color theme="1"/>
      </bottom>
      <diagonal/>
    </border>
    <border>
      <left style="medium">
        <color rgb="FF000000"/>
      </left>
      <right style="medium">
        <color rgb="FF000000"/>
      </right>
      <top style="dotted">
        <color rgb="FF000000"/>
      </top>
      <bottom style="thin">
        <color theme="1"/>
      </bottom>
      <diagonal/>
    </border>
    <border>
      <left style="thin">
        <color theme="8" tint="0.39997558519241921"/>
      </left>
      <right style="thin">
        <color theme="8" tint="0.39997558519241921"/>
      </right>
      <top style="thin">
        <color theme="8" tint="0.39997558519241921"/>
      </top>
      <bottom style="thin">
        <color theme="1"/>
      </bottom>
      <diagonal/>
    </border>
  </borders>
  <cellStyleXfs count="9">
    <xf numFmtId="0" fontId="0" fillId="0" borderId="0"/>
    <xf numFmtId="0" fontId="19" fillId="6" borderId="2" applyNumberFormat="0" applyAlignment="0" applyProtection="0"/>
    <xf numFmtId="0" fontId="20" fillId="7" borderId="3" applyNumberFormat="0" applyAlignment="0" applyProtection="0"/>
    <xf numFmtId="0" fontId="22" fillId="9" borderId="0" applyNumberFormat="0" applyBorder="0" applyAlignment="0" applyProtection="0"/>
    <xf numFmtId="0" fontId="23" fillId="0" borderId="0"/>
    <xf numFmtId="0" fontId="1" fillId="0" borderId="0"/>
    <xf numFmtId="0" fontId="33" fillId="0" borderId="0"/>
    <xf numFmtId="0" fontId="23" fillId="8" borderId="4" applyNumberFormat="0" applyFont="0" applyAlignment="0" applyProtection="0"/>
    <xf numFmtId="9" fontId="23" fillId="0" borderId="0" applyFont="0" applyFill="0" applyBorder="0" applyAlignment="0" applyProtection="0"/>
  </cellStyleXfs>
  <cellXfs count="175">
    <xf numFmtId="0" fontId="0" fillId="0" borderId="0" xfId="0"/>
    <xf numFmtId="0" fontId="0" fillId="0" borderId="0" xfId="0" applyAlignment="1"/>
    <xf numFmtId="0" fontId="2" fillId="0" borderId="0" xfId="0" applyFont="1" applyAlignment="1"/>
    <xf numFmtId="0" fontId="3" fillId="0" borderId="0" xfId="0" applyFont="1" applyAlignment="1"/>
    <xf numFmtId="0" fontId="4" fillId="0" borderId="0" xfId="0" applyFont="1" applyAlignment="1">
      <alignment horizontal="left" vertical="top" wrapText="1"/>
    </xf>
    <xf numFmtId="0" fontId="5" fillId="2" borderId="0" xfId="0" applyFont="1" applyFill="1" applyAlignment="1"/>
    <xf numFmtId="0" fontId="6" fillId="2" borderId="1" xfId="0" applyFont="1" applyFill="1" applyBorder="1" applyAlignment="1">
      <alignment horizontal="center" vertical="center"/>
    </xf>
    <xf numFmtId="0" fontId="4" fillId="0" borderId="1" xfId="0" applyFont="1" applyBorder="1" applyAlignment="1"/>
    <xf numFmtId="0" fontId="7" fillId="0" borderId="1" xfId="0" applyFont="1" applyBorder="1" applyAlignment="1">
      <alignment horizontal="center" vertical="center"/>
    </xf>
    <xf numFmtId="164" fontId="7" fillId="0" borderId="1" xfId="0" applyNumberFormat="1" applyFont="1" applyBorder="1" applyAlignment="1">
      <alignment horizontal="center" vertical="center"/>
    </xf>
    <xf numFmtId="2" fontId="7" fillId="0" borderId="1" xfId="0" applyNumberFormat="1" applyFont="1" applyBorder="1" applyAlignment="1">
      <alignment horizontal="center" vertical="center"/>
    </xf>
    <xf numFmtId="165" fontId="7" fillId="0" borderId="1" xfId="0" applyNumberFormat="1" applyFont="1" applyBorder="1" applyAlignment="1">
      <alignment horizontal="center" vertical="center"/>
    </xf>
    <xf numFmtId="0" fontId="0" fillId="0" borderId="1" xfId="0" applyBorder="1" applyAlignment="1"/>
    <xf numFmtId="0" fontId="8" fillId="0" borderId="0" xfId="0" applyFont="1" applyAlignment="1"/>
    <xf numFmtId="164" fontId="9" fillId="0" borderId="0" xfId="0" applyNumberFormat="1" applyFont="1" applyAlignment="1"/>
    <xf numFmtId="0" fontId="10" fillId="0" borderId="0" xfId="0" applyFont="1" applyAlignment="1"/>
    <xf numFmtId="0" fontId="0" fillId="0" borderId="1" xfId="0" applyBorder="1" applyAlignment="1">
      <alignment horizontal="center" vertical="center"/>
    </xf>
    <xf numFmtId="166" fontId="0" fillId="0" borderId="1" xfId="0" applyNumberFormat="1" applyBorder="1" applyAlignment="1">
      <alignment horizontal="center" vertical="center"/>
    </xf>
    <xf numFmtId="0" fontId="0" fillId="0" borderId="1" xfId="0" applyFont="1" applyBorder="1" applyAlignment="1">
      <alignment horizontal="left" vertical="center" wrapText="1"/>
    </xf>
    <xf numFmtId="0" fontId="9" fillId="3" borderId="1" xfId="0" applyFont="1" applyFill="1" applyBorder="1" applyAlignment="1">
      <alignment horizontal="center" vertical="center"/>
    </xf>
    <xf numFmtId="0" fontId="0" fillId="4" borderId="1" xfId="0" applyFont="1" applyFill="1" applyBorder="1" applyAlignment="1">
      <alignment horizontal="center" vertical="center"/>
    </xf>
    <xf numFmtId="0" fontId="9" fillId="0" borderId="1" xfId="0" applyFont="1" applyBorder="1" applyAlignment="1">
      <alignment horizontal="center" vertical="center"/>
    </xf>
    <xf numFmtId="164" fontId="9" fillId="0" borderId="1" xfId="0" applyNumberFormat="1" applyFont="1" applyBorder="1" applyAlignment="1">
      <alignment horizontal="center" vertical="center"/>
    </xf>
    <xf numFmtId="2" fontId="9" fillId="0" borderId="1" xfId="0" applyNumberFormat="1" applyFont="1" applyBorder="1" applyAlignment="1">
      <alignment horizontal="center" vertical="center"/>
    </xf>
    <xf numFmtId="165" fontId="9" fillId="0" borderId="1" xfId="0" applyNumberFormat="1" applyFont="1" applyBorder="1" applyAlignment="1">
      <alignment horizontal="center" vertical="center"/>
    </xf>
    <xf numFmtId="0" fontId="11" fillId="0" borderId="0" xfId="0" applyFont="1" applyAlignment="1"/>
    <xf numFmtId="0" fontId="12" fillId="3" borderId="1" xfId="0" applyFont="1" applyFill="1" applyBorder="1" applyAlignment="1">
      <alignment horizontal="center" vertical="center"/>
    </xf>
    <xf numFmtId="0" fontId="4" fillId="0" borderId="0" xfId="0" applyFont="1" applyAlignment="1"/>
    <xf numFmtId="0" fontId="8" fillId="0" borderId="1" xfId="0" applyFont="1" applyBorder="1" applyAlignment="1"/>
    <xf numFmtId="2" fontId="0" fillId="0" borderId="1" xfId="0" applyNumberFormat="1" applyBorder="1" applyAlignment="1">
      <alignment horizontal="center" vertical="center"/>
    </xf>
    <xf numFmtId="167" fontId="0" fillId="0" borderId="1" xfId="0" applyNumberFormat="1" applyBorder="1" applyAlignment="1">
      <alignment horizontal="center" vertical="center"/>
    </xf>
    <xf numFmtId="0" fontId="13" fillId="0" borderId="1" xfId="0" applyFont="1" applyBorder="1" applyAlignment="1">
      <alignment horizontal="center" vertical="center"/>
    </xf>
    <xf numFmtId="165" fontId="0" fillId="0" borderId="1" xfId="0" applyNumberFormat="1" applyBorder="1" applyAlignment="1">
      <alignment horizontal="center" vertical="center"/>
    </xf>
    <xf numFmtId="0" fontId="13" fillId="0" borderId="0" xfId="0" applyFont="1" applyAlignment="1"/>
    <xf numFmtId="0" fontId="8" fillId="0" borderId="1" xfId="0" applyFont="1" applyBorder="1" applyAlignment="1">
      <alignment horizontal="center" vertical="center"/>
    </xf>
    <xf numFmtId="0" fontId="8" fillId="5" borderId="1" xfId="0" applyFont="1" applyFill="1" applyBorder="1" applyAlignment="1">
      <alignment horizontal="center" vertical="center"/>
    </xf>
    <xf numFmtId="2" fontId="0" fillId="5" borderId="1" xfId="0" applyNumberFormat="1" applyFill="1" applyBorder="1" applyAlignment="1">
      <alignment horizontal="center" vertical="center"/>
    </xf>
    <xf numFmtId="165" fontId="0" fillId="5" borderId="1" xfId="0" applyNumberFormat="1" applyFill="1" applyBorder="1" applyAlignment="1">
      <alignment horizontal="center" vertical="center"/>
    </xf>
    <xf numFmtId="166" fontId="7" fillId="5" borderId="1" xfId="0" applyNumberFormat="1" applyFont="1" applyFill="1" applyBorder="1" applyAlignment="1">
      <alignment horizontal="center" vertical="center"/>
    </xf>
    <xf numFmtId="166" fontId="0" fillId="5" borderId="1" xfId="0" applyNumberFormat="1" applyFill="1" applyBorder="1" applyAlignment="1">
      <alignment horizontal="center" vertical="center"/>
    </xf>
    <xf numFmtId="0" fontId="0" fillId="5" borderId="1" xfId="0" applyFill="1" applyBorder="1" applyAlignment="1">
      <alignment horizontal="center" vertical="center"/>
    </xf>
    <xf numFmtId="166" fontId="7" fillId="0" borderId="1" xfId="0" applyNumberFormat="1" applyFont="1" applyBorder="1" applyAlignment="1">
      <alignment horizontal="center" vertical="center"/>
    </xf>
    <xf numFmtId="0" fontId="6" fillId="2" borderId="1" xfId="0" applyFont="1" applyFill="1" applyBorder="1" applyAlignment="1">
      <alignment horizontal="center" vertical="center" wrapText="1"/>
    </xf>
    <xf numFmtId="9" fontId="9"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0" fontId="14" fillId="0" borderId="0" xfId="0" applyFont="1" applyAlignment="1"/>
    <xf numFmtId="167" fontId="9" fillId="0" borderId="1" xfId="0" applyNumberFormat="1" applyFont="1" applyBorder="1" applyAlignment="1">
      <alignment horizontal="center" vertical="center"/>
    </xf>
    <xf numFmtId="0" fontId="9" fillId="0" borderId="1" xfId="0" applyFont="1" applyBorder="1" applyAlignment="1"/>
    <xf numFmtId="1" fontId="9" fillId="0" borderId="1" xfId="0" applyNumberFormat="1" applyFont="1" applyBorder="1" applyAlignment="1">
      <alignment horizontal="center" vertical="center"/>
    </xf>
    <xf numFmtId="166" fontId="9" fillId="0" borderId="1" xfId="0" applyNumberFormat="1" applyFont="1" applyBorder="1" applyAlignment="1">
      <alignment horizontal="center" vertical="center"/>
    </xf>
    <xf numFmtId="1" fontId="0" fillId="0" borderId="1" xfId="0" applyNumberFormat="1" applyBorder="1" applyAlignment="1">
      <alignment horizontal="center" vertical="center"/>
    </xf>
    <xf numFmtId="0" fontId="15" fillId="3" borderId="1" xfId="0" applyFont="1" applyFill="1" applyBorder="1" applyAlignment="1">
      <alignment horizontal="center" vertical="center"/>
    </xf>
    <xf numFmtId="0" fontId="16" fillId="2" borderId="1" xfId="0" applyFont="1" applyFill="1" applyBorder="1" applyAlignment="1">
      <alignment horizontal="center" vertical="center" wrapText="1"/>
    </xf>
    <xf numFmtId="1" fontId="8"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9" fontId="8" fillId="5" borderId="1" xfId="0" applyNumberFormat="1" applyFont="1" applyFill="1" applyBorder="1" applyAlignment="1">
      <alignment horizontal="center" vertical="center"/>
    </xf>
    <xf numFmtId="0" fontId="17" fillId="4" borderId="1" xfId="0" applyFont="1" applyFill="1" applyBorder="1" applyAlignment="1">
      <alignment horizontal="center" vertical="center"/>
    </xf>
    <xf numFmtId="0" fontId="9" fillId="3" borderId="1" xfId="0" applyFont="1" applyFill="1" applyBorder="1" applyAlignment="1">
      <alignment horizontal="center" vertical="center" wrapText="1"/>
    </xf>
    <xf numFmtId="1" fontId="4" fillId="0" borderId="1" xfId="0" applyNumberFormat="1" applyFont="1" applyBorder="1" applyAlignment="1">
      <alignment horizontal="center" vertical="center"/>
    </xf>
    <xf numFmtId="1" fontId="4" fillId="5" borderId="1" xfId="0" applyNumberFormat="1" applyFont="1" applyFill="1" applyBorder="1" applyAlignment="1">
      <alignment horizontal="center" vertical="center"/>
    </xf>
    <xf numFmtId="0" fontId="18" fillId="0" borderId="1" xfId="0" applyFont="1" applyBorder="1" applyAlignment="1">
      <alignment horizontal="center" vertical="center" wrapText="1"/>
    </xf>
    <xf numFmtId="0" fontId="8"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24" fillId="10" borderId="5" xfId="4" applyFont="1" applyFill="1" applyBorder="1" applyAlignment="1">
      <alignment horizontal="center" vertical="center" wrapText="1"/>
    </xf>
    <xf numFmtId="0" fontId="24" fillId="10" borderId="6" xfId="4" applyFont="1" applyFill="1" applyBorder="1" applyAlignment="1">
      <alignment horizontal="center" vertical="center" wrapText="1"/>
    </xf>
    <xf numFmtId="0" fontId="24" fillId="10" borderId="7" xfId="4" applyFont="1" applyFill="1" applyBorder="1" applyAlignment="1">
      <alignment horizontal="center" vertical="center" wrapText="1"/>
    </xf>
    <xf numFmtId="0" fontId="24" fillId="10" borderId="8" xfId="4" applyFont="1" applyFill="1" applyBorder="1" applyAlignment="1">
      <alignment horizontal="center" vertical="center" wrapText="1"/>
    </xf>
    <xf numFmtId="0" fontId="25" fillId="0" borderId="0" xfId="4" applyFont="1" applyAlignment="1">
      <alignment horizontal="center" vertical="center" wrapText="1"/>
    </xf>
    <xf numFmtId="0" fontId="26" fillId="0" borderId="9" xfId="4" applyFont="1" applyBorder="1" applyAlignment="1">
      <alignment horizontal="left" vertical="center" wrapText="1"/>
    </xf>
    <xf numFmtId="0" fontId="26" fillId="0" borderId="10" xfId="4" applyFont="1" applyBorder="1" applyAlignment="1">
      <alignment horizontal="left" vertical="center" wrapText="1"/>
    </xf>
    <xf numFmtId="0" fontId="26" fillId="0" borderId="11" xfId="4" applyFont="1" applyBorder="1" applyAlignment="1">
      <alignment horizontal="left" vertical="center" wrapText="1"/>
    </xf>
    <xf numFmtId="0" fontId="26" fillId="0" borderId="12" xfId="4" applyFont="1" applyBorder="1" applyAlignment="1">
      <alignment horizontal="center" vertical="center" wrapText="1"/>
    </xf>
    <xf numFmtId="0" fontId="27" fillId="0" borderId="0" xfId="4" applyFont="1" applyAlignment="1">
      <alignment horizontal="left" vertical="center" wrapText="1"/>
    </xf>
    <xf numFmtId="0" fontId="26" fillId="0" borderId="13" xfId="4" applyFont="1" applyBorder="1" applyAlignment="1">
      <alignment horizontal="left" vertical="center" wrapText="1"/>
    </xf>
    <xf numFmtId="0" fontId="26" fillId="11" borderId="14" xfId="4" applyFont="1" applyFill="1" applyBorder="1" applyAlignment="1">
      <alignment horizontal="left" vertical="center" wrapText="1"/>
    </xf>
    <xf numFmtId="0" fontId="26" fillId="0" borderId="15" xfId="4" applyFont="1" applyBorder="1" applyAlignment="1">
      <alignment horizontal="left" vertical="center" wrapText="1"/>
    </xf>
    <xf numFmtId="0" fontId="26" fillId="0" borderId="12" xfId="4" applyFont="1" applyBorder="1" applyAlignment="1">
      <alignment horizontal="left" vertical="center" wrapText="1"/>
    </xf>
    <xf numFmtId="0" fontId="26" fillId="0" borderId="16" xfId="4" applyFont="1" applyBorder="1" applyAlignment="1">
      <alignment horizontal="left" vertical="center" wrapText="1"/>
    </xf>
    <xf numFmtId="0" fontId="26" fillId="0" borderId="5" xfId="4" applyFont="1" applyBorder="1" applyAlignment="1">
      <alignment horizontal="left" vertical="center" wrapText="1"/>
    </xf>
    <xf numFmtId="0" fontId="26" fillId="0" borderId="17" xfId="4" applyFont="1" applyBorder="1" applyAlignment="1">
      <alignment horizontal="left" vertical="center" wrapText="1"/>
    </xf>
    <xf numFmtId="0" fontId="27" fillId="0" borderId="0" xfId="4" applyFont="1" applyAlignment="1">
      <alignment horizontal="center" vertical="center"/>
    </xf>
    <xf numFmtId="0" fontId="28" fillId="12" borderId="12" xfId="4" applyFont="1" applyFill="1" applyBorder="1" applyAlignment="1">
      <alignment horizontal="center" vertical="center" wrapText="1"/>
    </xf>
    <xf numFmtId="0" fontId="26" fillId="0" borderId="0" xfId="4" applyFont="1" applyAlignment="1">
      <alignment horizontal="center" vertical="center"/>
    </xf>
    <xf numFmtId="0" fontId="28" fillId="13" borderId="0" xfId="4" applyFont="1" applyFill="1" applyAlignment="1">
      <alignment horizontal="center" vertical="center"/>
    </xf>
    <xf numFmtId="0" fontId="26" fillId="0" borderId="9" xfId="4" applyFont="1" applyBorder="1" applyAlignment="1">
      <alignment horizontal="left" vertical="center"/>
    </xf>
    <xf numFmtId="0" fontId="26" fillId="0" borderId="9" xfId="4" applyFont="1" applyBorder="1" applyAlignment="1">
      <alignment horizontal="center" vertical="center" wrapText="1"/>
    </xf>
    <xf numFmtId="0" fontId="26" fillId="0" borderId="18" xfId="4" applyFont="1" applyBorder="1" applyAlignment="1">
      <alignment horizontal="left" vertical="center" wrapText="1"/>
    </xf>
    <xf numFmtId="0" fontId="26" fillId="0" borderId="0" xfId="4" applyFont="1" applyAlignment="1">
      <alignment horizontal="left" vertical="center" wrapText="1"/>
    </xf>
    <xf numFmtId="0" fontId="27" fillId="0" borderId="0" xfId="4" applyFont="1" applyAlignment="1">
      <alignment horizontal="center" vertical="center" wrapText="1"/>
    </xf>
    <xf numFmtId="0" fontId="29" fillId="14" borderId="22" xfId="5" applyFont="1" applyFill="1" applyBorder="1" applyAlignment="1">
      <alignment horizontal="center" vertical="center"/>
    </xf>
    <xf numFmtId="0" fontId="29" fillId="14" borderId="23" xfId="5" applyFont="1" applyFill="1" applyBorder="1" applyAlignment="1">
      <alignment horizontal="center" vertical="center"/>
    </xf>
    <xf numFmtId="0" fontId="29" fillId="14" borderId="24" xfId="5" applyFont="1" applyFill="1" applyBorder="1" applyAlignment="1">
      <alignment horizontal="center" vertical="center"/>
    </xf>
    <xf numFmtId="0" fontId="1" fillId="0" borderId="0" xfId="5"/>
    <xf numFmtId="0" fontId="29" fillId="0" borderId="25" xfId="5" applyFont="1" applyBorder="1" applyAlignment="1">
      <alignment horizontal="center" vertical="center"/>
    </xf>
    <xf numFmtId="0" fontId="29" fillId="0" borderId="26" xfId="5" applyFont="1" applyBorder="1" applyAlignment="1">
      <alignment horizontal="center" vertical="center"/>
    </xf>
    <xf numFmtId="0" fontId="29" fillId="0" borderId="27" xfId="5" applyFont="1" applyBorder="1" applyAlignment="1">
      <alignment horizontal="center" vertical="center"/>
    </xf>
    <xf numFmtId="0" fontId="29" fillId="14" borderId="28" xfId="5" applyFont="1" applyFill="1" applyBorder="1" applyAlignment="1">
      <alignment horizontal="center" vertical="center" textRotation="255" wrapText="1"/>
    </xf>
    <xf numFmtId="0" fontId="29" fillId="0" borderId="0" xfId="5" applyFont="1" applyAlignment="1">
      <alignment horizontal="center" vertical="center"/>
    </xf>
    <xf numFmtId="15" fontId="21" fillId="15" borderId="29" xfId="5" applyNumberFormat="1" applyFont="1" applyFill="1" applyBorder="1" applyAlignment="1" applyProtection="1">
      <alignment horizontal="center" vertical="center"/>
      <protection hidden="1"/>
    </xf>
    <xf numFmtId="0" fontId="29" fillId="14" borderId="30" xfId="5" applyFont="1" applyFill="1" applyBorder="1" applyAlignment="1">
      <alignment horizontal="center" vertical="center" textRotation="255" wrapText="1"/>
    </xf>
    <xf numFmtId="0" fontId="30" fillId="0" borderId="25" xfId="5" applyFont="1" applyBorder="1" applyAlignment="1">
      <alignment horizontal="center" vertical="center" wrapText="1"/>
    </xf>
    <xf numFmtId="0" fontId="30" fillId="16" borderId="26" xfId="5" applyFont="1" applyFill="1" applyBorder="1" applyAlignment="1">
      <alignment horizontal="center" vertical="center" wrapText="1"/>
    </xf>
    <xf numFmtId="0" fontId="30" fillId="0" borderId="26" xfId="5" applyFont="1" applyBorder="1" applyAlignment="1">
      <alignment horizontal="center" vertical="center" wrapText="1"/>
    </xf>
    <xf numFmtId="0" fontId="1" fillId="0" borderId="31" xfId="5" applyBorder="1" applyAlignment="1">
      <alignment horizontal="left" vertical="center"/>
    </xf>
    <xf numFmtId="0" fontId="1" fillId="0" borderId="0" xfId="5" applyAlignment="1">
      <alignment horizontal="left" vertical="center"/>
    </xf>
    <xf numFmtId="0" fontId="30" fillId="16" borderId="25" xfId="5" applyFont="1" applyFill="1" applyBorder="1" applyAlignment="1">
      <alignment horizontal="center" vertical="center" wrapText="1"/>
    </xf>
    <xf numFmtId="0" fontId="30" fillId="0" borderId="27" xfId="5" applyFont="1" applyBorder="1" applyAlignment="1">
      <alignment horizontal="center" vertical="center" wrapText="1"/>
    </xf>
    <xf numFmtId="0" fontId="30" fillId="0" borderId="32" xfId="5" applyFont="1" applyBorder="1" applyAlignment="1">
      <alignment horizontal="center" vertical="center" wrapText="1"/>
    </xf>
    <xf numFmtId="0" fontId="30" fillId="0" borderId="33" xfId="5" applyFont="1" applyBorder="1" applyAlignment="1">
      <alignment horizontal="center" vertical="center" wrapText="1"/>
    </xf>
    <xf numFmtId="0" fontId="30" fillId="16" borderId="33" xfId="5" applyFont="1" applyFill="1" applyBorder="1" applyAlignment="1">
      <alignment horizontal="center" vertical="center" wrapText="1"/>
    </xf>
    <xf numFmtId="0" fontId="30" fillId="16" borderId="34" xfId="5" applyFont="1" applyFill="1" applyBorder="1" applyAlignment="1">
      <alignment horizontal="center" vertical="center" wrapText="1"/>
    </xf>
    <xf numFmtId="0" fontId="32" fillId="0" borderId="35" xfId="5" applyFont="1" applyBorder="1" applyAlignment="1">
      <alignment horizontal="center" wrapText="1"/>
    </xf>
    <xf numFmtId="0" fontId="32" fillId="0" borderId="36" xfId="5" applyFont="1" applyBorder="1" applyAlignment="1">
      <alignment horizontal="center" wrapText="1"/>
    </xf>
    <xf numFmtId="0" fontId="32" fillId="0" borderId="37" xfId="5" applyFont="1" applyBorder="1" applyAlignment="1">
      <alignment horizontal="center" wrapText="1"/>
    </xf>
    <xf numFmtId="0" fontId="34" fillId="0" borderId="0" xfId="6" applyFont="1" applyAlignment="1">
      <alignment horizontal="center" vertical="center" wrapText="1"/>
    </xf>
    <xf numFmtId="0" fontId="35" fillId="0" borderId="0" xfId="6" applyFont="1" applyAlignment="1">
      <alignment horizontal="left" vertical="center"/>
    </xf>
    <xf numFmtId="0" fontId="36" fillId="0" borderId="0" xfId="6" applyFont="1" applyAlignment="1">
      <alignment horizontal="right" vertical="center" wrapText="1"/>
    </xf>
    <xf numFmtId="0" fontId="36" fillId="8" borderId="4" xfId="7" applyFont="1" applyAlignment="1">
      <alignment horizontal="left" vertical="center"/>
    </xf>
    <xf numFmtId="0" fontId="35" fillId="0" borderId="0" xfId="6" applyFont="1" applyAlignment="1">
      <alignment horizontal="right" vertical="center" wrapText="1"/>
    </xf>
    <xf numFmtId="0" fontId="35" fillId="8" borderId="38" xfId="7" applyFont="1" applyBorder="1" applyAlignment="1">
      <alignment horizontal="left" vertical="center"/>
    </xf>
    <xf numFmtId="0" fontId="35" fillId="0" borderId="38" xfId="6" applyFont="1" applyBorder="1" applyAlignment="1">
      <alignment horizontal="left" vertical="center" wrapText="1"/>
    </xf>
    <xf numFmtId="15" fontId="36" fillId="14" borderId="38" xfId="6" applyNumberFormat="1" applyFont="1" applyFill="1" applyBorder="1" applyAlignment="1">
      <alignment horizontal="center" vertical="center"/>
    </xf>
    <xf numFmtId="0" fontId="35" fillId="8" borderId="39" xfId="7" applyFont="1" applyBorder="1" applyAlignment="1">
      <alignment horizontal="left" vertical="center"/>
    </xf>
    <xf numFmtId="0" fontId="36" fillId="14" borderId="38" xfId="6" applyFont="1" applyFill="1" applyBorder="1" applyAlignment="1">
      <alignment horizontal="center" vertical="center"/>
    </xf>
    <xf numFmtId="15" fontId="20" fillId="7" borderId="3" xfId="2" applyNumberFormat="1" applyAlignment="1">
      <alignment horizontal="center" vertical="center"/>
    </xf>
    <xf numFmtId="0" fontId="36" fillId="8" borderId="40" xfId="7" applyFont="1" applyBorder="1" applyAlignment="1">
      <alignment horizontal="left" vertical="center"/>
    </xf>
    <xf numFmtId="2" fontId="39" fillId="7" borderId="38" xfId="2" applyNumberFormat="1" applyFont="1" applyBorder="1" applyAlignment="1">
      <alignment horizontal="left" vertical="center"/>
    </xf>
    <xf numFmtId="0" fontId="35" fillId="0" borderId="38" xfId="6" applyFont="1" applyBorder="1" applyAlignment="1">
      <alignment horizontal="left" vertical="center"/>
    </xf>
    <xf numFmtId="0" fontId="39" fillId="7" borderId="3" xfId="2" applyFont="1" applyAlignment="1">
      <alignment horizontal="left" vertical="center"/>
    </xf>
    <xf numFmtId="0" fontId="36" fillId="0" borderId="38" xfId="6" applyFont="1" applyBorder="1" applyAlignment="1">
      <alignment horizontal="center" vertical="center"/>
    </xf>
    <xf numFmtId="0" fontId="36" fillId="0" borderId="38" xfId="6" applyFont="1" applyBorder="1" applyAlignment="1">
      <alignment horizontal="right" vertical="center" wrapText="1"/>
    </xf>
    <xf numFmtId="0" fontId="35" fillId="0" borderId="38" xfId="6" applyFont="1" applyBorder="1" applyAlignment="1">
      <alignment horizontal="center" vertical="center"/>
    </xf>
    <xf numFmtId="0" fontId="36" fillId="0" borderId="38" xfId="6" applyFont="1" applyBorder="1" applyAlignment="1">
      <alignment horizontal="left" vertical="center" wrapText="1"/>
    </xf>
    <xf numFmtId="0" fontId="34" fillId="0" borderId="38" xfId="6" applyFont="1" applyBorder="1" applyAlignment="1">
      <alignment horizontal="left" vertical="center" wrapText="1"/>
    </xf>
    <xf numFmtId="0" fontId="36" fillId="0" borderId="0" xfId="6" applyFont="1" applyAlignment="1">
      <alignment horizontal="left" vertical="center"/>
    </xf>
    <xf numFmtId="0" fontId="34" fillId="8" borderId="38" xfId="7" applyFont="1" applyBorder="1" applyAlignment="1">
      <alignment horizontal="left" vertical="center" wrapText="1"/>
    </xf>
    <xf numFmtId="0" fontId="34" fillId="8" borderId="38" xfId="7" applyFont="1" applyBorder="1" applyAlignment="1">
      <alignment horizontal="center" vertical="center" wrapText="1"/>
    </xf>
    <xf numFmtId="0" fontId="35" fillId="0" borderId="0" xfId="6" applyFont="1" applyAlignment="1">
      <alignment horizontal="center" vertical="center"/>
    </xf>
    <xf numFmtId="0" fontId="36" fillId="0" borderId="38" xfId="6" applyFont="1" applyBorder="1" applyAlignment="1">
      <alignment horizontal="right" vertical="center"/>
    </xf>
    <xf numFmtId="0" fontId="36" fillId="0" borderId="38" xfId="6" applyFont="1" applyBorder="1" applyAlignment="1">
      <alignment horizontal="center" vertical="center" textRotation="255"/>
    </xf>
    <xf numFmtId="0" fontId="36" fillId="14" borderId="38" xfId="6" applyFont="1" applyFill="1" applyBorder="1" applyAlignment="1">
      <alignment horizontal="center" vertical="center" wrapText="1"/>
    </xf>
    <xf numFmtId="0" fontId="36" fillId="0" borderId="0" xfId="6" applyFont="1" applyAlignment="1">
      <alignment horizontal="center" vertical="center"/>
    </xf>
    <xf numFmtId="0" fontId="39" fillId="7" borderId="38" xfId="2" applyFont="1" applyBorder="1" applyAlignment="1">
      <alignment horizontal="right" vertical="center"/>
    </xf>
    <xf numFmtId="0" fontId="39" fillId="7" borderId="38" xfId="2" applyFont="1" applyBorder="1" applyAlignment="1">
      <alignment horizontal="left" vertical="center"/>
    </xf>
    <xf numFmtId="0" fontId="39" fillId="7" borderId="38" xfId="2" applyFont="1" applyBorder="1" applyAlignment="1">
      <alignment horizontal="center" vertical="center"/>
    </xf>
    <xf numFmtId="0" fontId="40" fillId="0" borderId="41" xfId="4" applyFont="1" applyBorder="1" applyAlignment="1" applyProtection="1">
      <alignment horizontal="left" vertical="center" wrapText="1"/>
      <protection locked="0"/>
    </xf>
    <xf numFmtId="0" fontId="35" fillId="0" borderId="38" xfId="6" applyFont="1" applyBorder="1" applyAlignment="1">
      <alignment horizontal="center" vertical="center"/>
    </xf>
    <xf numFmtId="0" fontId="40" fillId="0" borderId="42" xfId="4" applyFont="1" applyBorder="1" applyAlignment="1" applyProtection="1">
      <alignment horizontal="left" vertical="center" wrapText="1"/>
      <protection locked="0"/>
    </xf>
    <xf numFmtId="9" fontId="36" fillId="0" borderId="38" xfId="8" applyFont="1" applyBorder="1" applyAlignment="1">
      <alignment horizontal="right" vertical="center"/>
    </xf>
    <xf numFmtId="0" fontId="41" fillId="14" borderId="38" xfId="4" applyFont="1" applyFill="1" applyBorder="1" applyAlignment="1">
      <alignment horizontal="center" vertical="center"/>
    </xf>
    <xf numFmtId="0" fontId="40" fillId="0" borderId="43" xfId="4" applyFont="1" applyBorder="1" applyAlignment="1" applyProtection="1">
      <alignment horizontal="left" vertical="center" wrapText="1"/>
      <protection locked="0"/>
    </xf>
    <xf numFmtId="0" fontId="41" fillId="16" borderId="38" xfId="4" applyFont="1" applyFill="1" applyBorder="1" applyAlignment="1">
      <alignment horizontal="left" vertical="center"/>
    </xf>
    <xf numFmtId="0" fontId="39" fillId="16" borderId="38" xfId="2" applyFont="1" applyFill="1" applyBorder="1" applyAlignment="1">
      <alignment horizontal="left" vertical="center"/>
    </xf>
    <xf numFmtId="0" fontId="42" fillId="6" borderId="38" xfId="1" applyFont="1" applyBorder="1" applyAlignment="1">
      <alignment horizontal="left" vertical="center"/>
    </xf>
    <xf numFmtId="0" fontId="40" fillId="0" borderId="41" xfId="4" applyFont="1" applyBorder="1" applyAlignment="1">
      <alignment horizontal="left" vertical="center" wrapText="1"/>
    </xf>
    <xf numFmtId="9" fontId="36" fillId="0" borderId="38" xfId="8" applyFont="1" applyBorder="1" applyAlignment="1">
      <alignment horizontal="center" vertical="center" wrapText="1"/>
    </xf>
    <xf numFmtId="0" fontId="40" fillId="0" borderId="42" xfId="4" applyFont="1" applyBorder="1" applyAlignment="1">
      <alignment horizontal="left" vertical="center" wrapText="1"/>
    </xf>
    <xf numFmtId="0" fontId="36" fillId="16" borderId="38" xfId="6" applyFont="1" applyFill="1" applyBorder="1" applyAlignment="1">
      <alignment horizontal="left" vertical="center"/>
    </xf>
    <xf numFmtId="0" fontId="40" fillId="0" borderId="43" xfId="4" applyFont="1" applyBorder="1" applyAlignment="1">
      <alignment horizontal="left" vertical="center" wrapText="1"/>
    </xf>
    <xf numFmtId="0" fontId="35" fillId="0" borderId="38" xfId="6" applyFont="1" applyBorder="1" applyAlignment="1">
      <alignment horizontal="center" vertical="center" wrapText="1"/>
    </xf>
    <xf numFmtId="0" fontId="42" fillId="6" borderId="38" xfId="1" applyFont="1" applyBorder="1" applyAlignment="1">
      <alignment horizontal="left" vertical="center" wrapText="1"/>
    </xf>
    <xf numFmtId="0" fontId="36" fillId="0" borderId="38" xfId="6" applyFont="1" applyBorder="1" applyAlignment="1">
      <alignment horizontal="center" vertical="center" wrapText="1"/>
    </xf>
    <xf numFmtId="0" fontId="36" fillId="14" borderId="38" xfId="6" applyFont="1" applyFill="1" applyBorder="1" applyAlignment="1">
      <alignment horizontal="center" vertical="center" wrapText="1"/>
    </xf>
    <xf numFmtId="0" fontId="36" fillId="14" borderId="38" xfId="6" applyFont="1" applyFill="1" applyBorder="1" applyAlignment="1">
      <alignment horizontal="right" vertical="center"/>
    </xf>
    <xf numFmtId="0" fontId="36" fillId="14" borderId="38" xfId="6" applyFont="1" applyFill="1" applyBorder="1" applyAlignment="1">
      <alignment horizontal="left" vertical="center"/>
    </xf>
    <xf numFmtId="0" fontId="36" fillId="14" borderId="38" xfId="6" applyFont="1" applyFill="1" applyBorder="1" applyAlignment="1">
      <alignment horizontal="center" vertical="center"/>
    </xf>
    <xf numFmtId="0" fontId="36" fillId="0" borderId="38" xfId="6" applyFont="1" applyBorder="1" applyAlignment="1">
      <alignment horizontal="center" vertical="center" wrapText="1"/>
    </xf>
    <xf numFmtId="0" fontId="44" fillId="9" borderId="19" xfId="3" applyFont="1" applyBorder="1" applyAlignment="1">
      <alignment horizontal="center" vertical="center" wrapText="1"/>
    </xf>
    <xf numFmtId="0" fontId="44" fillId="9" borderId="9" xfId="3" applyFont="1" applyBorder="1" applyAlignment="1">
      <alignment horizontal="center" vertical="center" wrapText="1"/>
    </xf>
    <xf numFmtId="0" fontId="44" fillId="9" borderId="21" xfId="3" applyFont="1" applyBorder="1" applyAlignment="1">
      <alignment horizontal="center" vertical="center" wrapText="1"/>
    </xf>
    <xf numFmtId="0" fontId="44" fillId="9" borderId="20" xfId="3" applyFont="1" applyBorder="1" applyAlignment="1">
      <alignment horizontal="center" vertical="center" wrapText="1"/>
    </xf>
    <xf numFmtId="0" fontId="44" fillId="9" borderId="44" xfId="3" applyFont="1" applyBorder="1" applyAlignment="1">
      <alignment horizontal="center" vertical="center" wrapText="1"/>
    </xf>
    <xf numFmtId="0" fontId="44" fillId="9" borderId="45" xfId="3" applyFont="1" applyBorder="1" applyAlignment="1">
      <alignment horizontal="center" vertical="center" wrapText="1"/>
    </xf>
    <xf numFmtId="0" fontId="44" fillId="9" borderId="46" xfId="3" applyFont="1" applyBorder="1" applyAlignment="1">
      <alignment horizontal="center" vertical="center" wrapText="1"/>
    </xf>
    <xf numFmtId="0" fontId="45" fillId="0" borderId="38" xfId="8" applyNumberFormat="1" applyFont="1" applyBorder="1" applyAlignment="1" applyProtection="1">
      <alignment horizontal="center" vertical="center" shrinkToFit="1"/>
      <protection locked="0"/>
    </xf>
  </cellXfs>
  <cellStyles count="9">
    <cellStyle name="Accent1" xfId="3" builtinId="29"/>
    <cellStyle name="Input" xfId="1" builtinId="20"/>
    <cellStyle name="Normal" xfId="0" builtinId="0"/>
    <cellStyle name="Normal 2" xfId="4" xr:uid="{C515D3D7-43B5-43EF-A469-6E64C7E0587D}"/>
    <cellStyle name="Normal 5" xfId="5" xr:uid="{E706A202-7E60-4106-9F8F-CD5A0CAD47E9}"/>
    <cellStyle name="Normal 7" xfId="6" xr:uid="{1016C471-5CA5-4AE2-8DD4-DB2B76C2432D}"/>
    <cellStyle name="Note 2" xfId="7" xr:uid="{B6F0F3CA-DB26-4584-A426-D5FA2AB624F2}"/>
    <cellStyle name="Output" xfId="2" builtinId="21"/>
    <cellStyle name="Percent 2" xfId="8" xr:uid="{68BABD45-49FE-4E58-9D45-D593D6A6601F}"/>
  </cellStyles>
  <dxfs count="70">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border diagonalUp="0" diagonalDown="0" outline="0">
        <left/>
        <right/>
        <top style="dotted">
          <color rgb="FF000000"/>
        </top>
        <bottom style="dotted">
          <color rgb="FF000000"/>
        </bottom>
      </border>
    </dxf>
    <dxf>
      <border outline="0">
        <top style="dotted">
          <color rgb="FF000000"/>
        </top>
      </border>
    </dxf>
    <dxf>
      <border outline="0">
        <bottom style="dotted">
          <color rgb="FF000000"/>
        </bottom>
      </border>
    </dxf>
    <dxf>
      <border outline="0">
        <left style="medium">
          <color rgb="FF000000"/>
        </left>
        <right style="medium">
          <color rgb="FF000000"/>
        </right>
        <top style="medium">
          <color rgb="FF000000"/>
        </top>
        <bottom style="dotted">
          <color rgb="FF000000"/>
        </bottom>
      </border>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rgb="FFF1C232"/>
          <bgColor rgb="FFF1C23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border diagonalUp="0" diagonalDown="0" outline="0">
        <left/>
        <right/>
        <top style="dotted">
          <color rgb="FF000000"/>
        </top>
        <bottom style="dotted">
          <color rgb="FF000000"/>
        </bottom>
      </border>
    </dxf>
    <dxf>
      <border outline="0">
        <top style="dotted">
          <color rgb="FF000000"/>
        </top>
      </border>
    </dxf>
    <dxf>
      <border outline="0">
        <bottom style="dotted">
          <color rgb="FF000000"/>
        </bottom>
      </border>
    </dxf>
    <dxf>
      <border outline="0">
        <left style="medium">
          <color rgb="FF000000"/>
        </left>
        <right style="medium">
          <color rgb="FF000000"/>
        </right>
        <top style="medium">
          <color rgb="FF000000"/>
        </top>
        <bottom style="dotted">
          <color rgb="FF000000"/>
        </bottom>
      </border>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rgb="FFF1C232"/>
          <bgColor rgb="FFF1C23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border diagonalUp="0" diagonalDown="0" outline="0">
        <left/>
        <right/>
        <top style="dotted">
          <color rgb="FF000000"/>
        </top>
        <bottom style="dotted">
          <color rgb="FF000000"/>
        </bottom>
      </border>
    </dxf>
    <dxf>
      <border outline="0">
        <top style="dotted">
          <color rgb="FF000000"/>
        </top>
      </border>
    </dxf>
    <dxf>
      <border outline="0">
        <bottom style="dotted">
          <color rgb="FF000000"/>
        </bottom>
      </border>
    </dxf>
    <dxf>
      <border outline="0">
        <left style="medium">
          <color rgb="FF000000"/>
        </left>
        <right style="medium">
          <color rgb="FF000000"/>
        </right>
        <top style="medium">
          <color rgb="FF000000"/>
        </top>
        <bottom style="dotted">
          <color rgb="FF000000"/>
        </bottom>
      </border>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rgb="FFF1C232"/>
          <bgColor rgb="FFF1C23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border diagonalUp="0" diagonalDown="0" outline="0">
        <left/>
        <right/>
        <top style="dotted">
          <color rgb="FF000000"/>
        </top>
        <bottom style="dotted">
          <color rgb="FF000000"/>
        </bottom>
      </border>
    </dxf>
    <dxf>
      <border outline="0">
        <top style="dotted">
          <color rgb="FF000000"/>
        </top>
      </border>
    </dxf>
    <dxf>
      <border outline="0">
        <bottom style="dotted">
          <color rgb="FF000000"/>
        </bottom>
      </border>
    </dxf>
    <dxf>
      <border outline="0">
        <left style="medium">
          <color rgb="FF000000"/>
        </left>
        <right style="medium">
          <color rgb="FF000000"/>
        </right>
        <top style="medium">
          <color rgb="FF000000"/>
        </top>
        <bottom style="dotted">
          <color rgb="FF000000"/>
        </bottom>
      </border>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rgb="FFF1C232"/>
          <bgColor rgb="FFF1C23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border diagonalUp="0" diagonalDown="0" outline="0">
        <left/>
        <right/>
        <top style="dotted">
          <color rgb="FF000000"/>
        </top>
        <bottom style="dotted">
          <color rgb="FF000000"/>
        </bottom>
      </border>
    </dxf>
    <dxf>
      <border outline="0">
        <top style="dotted">
          <color rgb="FF000000"/>
        </top>
      </border>
    </dxf>
    <dxf>
      <border outline="0">
        <bottom style="dotted">
          <color rgb="FF000000"/>
        </bottom>
      </border>
    </dxf>
    <dxf>
      <border outline="0">
        <left style="medium">
          <color rgb="FF000000"/>
        </left>
        <right style="medium">
          <color rgb="FF000000"/>
        </right>
        <top style="medium">
          <color rgb="FF000000"/>
        </top>
        <bottom style="dotted">
          <color rgb="FF000000"/>
        </bottom>
      </border>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rgb="FFF1C232"/>
          <bgColor rgb="FFF1C23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border diagonalUp="0" diagonalDown="0" outline="0">
        <left/>
        <right/>
        <top style="dotted">
          <color rgb="FF000000"/>
        </top>
        <bottom style="dotted">
          <color rgb="FF000000"/>
        </bottom>
      </border>
    </dxf>
    <dxf>
      <border outline="0">
        <top style="dotted">
          <color rgb="FF000000"/>
        </top>
      </border>
    </dxf>
    <dxf>
      <border outline="0">
        <bottom style="dotted">
          <color rgb="FF000000"/>
        </bottom>
      </border>
    </dxf>
    <dxf>
      <border outline="0">
        <left style="medium">
          <color rgb="FF000000"/>
        </left>
        <right style="medium">
          <color rgb="FF000000"/>
        </right>
        <top style="medium">
          <color rgb="FF000000"/>
        </top>
        <bottom style="dotted">
          <color rgb="FF000000"/>
        </bottom>
      </border>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rgb="FFF1C232"/>
          <bgColor rgb="FFF1C23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border diagonalUp="0" diagonalDown="0" outline="0">
        <left/>
        <right/>
        <top style="dotted">
          <color rgb="FF000000"/>
        </top>
        <bottom style="dotted">
          <color rgb="FF000000"/>
        </bottom>
      </border>
    </dxf>
    <dxf>
      <border outline="0">
        <top style="dotted">
          <color rgb="FF000000"/>
        </top>
      </border>
    </dxf>
    <dxf>
      <border outline="0">
        <bottom style="dotted">
          <color rgb="FF000000"/>
        </bottom>
      </border>
    </dxf>
    <dxf>
      <border outline="0">
        <left style="medium">
          <color rgb="FF000000"/>
        </left>
        <right style="medium">
          <color rgb="FF000000"/>
        </right>
        <top style="medium">
          <color rgb="FF000000"/>
        </top>
        <bottom style="dotted">
          <color rgb="FF000000"/>
        </bottom>
      </border>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rgb="FFF1C232"/>
          <bgColor rgb="FFF1C23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border diagonalUp="0" diagonalDown="0" outline="0">
        <left/>
        <right/>
        <top style="dotted">
          <color rgb="FF000000"/>
        </top>
        <bottom style="dotted">
          <color rgb="FF000000"/>
        </bottom>
      </border>
    </dxf>
    <dxf>
      <border outline="0">
        <top style="dotted">
          <color rgb="FF000000"/>
        </top>
      </border>
    </dxf>
    <dxf>
      <border outline="0">
        <bottom style="dotted">
          <color rgb="FF000000"/>
        </bottom>
      </border>
    </dxf>
    <dxf>
      <border outline="0">
        <left style="medium">
          <color rgb="FF000000"/>
        </left>
        <right style="medium">
          <color rgb="FF000000"/>
        </right>
        <top style="medium">
          <color rgb="FF000000"/>
        </top>
        <bottom style="dotted">
          <color rgb="FF000000"/>
        </bottom>
      </border>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rgb="FFF1C232"/>
          <bgColor rgb="FFF1C23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right/>
        <top style="dotted">
          <color rgb="FF000000"/>
        </top>
        <bottom style="dotted">
          <color rgb="FF000000"/>
        </bottom>
      </border>
    </dxf>
    <dxf>
      <border outline="0">
        <top style="dotted">
          <color rgb="FF000000"/>
        </top>
      </border>
    </dxf>
    <dxf>
      <border outline="0">
        <bottom style="dotted">
          <color rgb="FF000000"/>
        </bottom>
      </border>
    </dxf>
    <dxf>
      <border outline="0">
        <left style="medium">
          <color rgb="FF000000"/>
        </left>
        <right style="medium">
          <color rgb="FF000000"/>
        </right>
        <top style="medium">
          <color rgb="FF000000"/>
        </top>
        <bottom style="dotted">
          <color rgb="FF000000"/>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rgb="FFF1C232"/>
          <bgColor rgb="FFF1C23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border diagonalUp="0" diagonalDown="0" outline="0">
        <left/>
        <right/>
        <top style="dotted">
          <color rgb="FF000000"/>
        </top>
        <bottom style="dotted">
          <color rgb="FF000000"/>
        </bottom>
      </border>
    </dxf>
    <dxf>
      <border outline="0">
        <top style="dotted">
          <color rgb="FF000000"/>
        </top>
      </border>
    </dxf>
    <dxf>
      <border outline="0">
        <bottom style="dotted">
          <color rgb="FF000000"/>
        </bottom>
      </border>
    </dxf>
    <dxf>
      <border outline="0">
        <left style="medium">
          <color rgb="FF000000"/>
        </left>
        <right style="medium">
          <color rgb="FF000000"/>
        </right>
        <top style="medium">
          <color rgb="FF000000"/>
        </top>
        <bottom style="dotted">
          <color rgb="FF000000"/>
        </bottom>
      </border>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rgb="FFF1C232"/>
          <bgColor rgb="FFF1C23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theme="8" tint="0.79998168889431442"/>
          <bgColor theme="8" tint="0.79998168889431442"/>
        </patternFill>
      </fill>
      <alignment horizontal="left"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border outline="0">
        <bottom style="dotted">
          <color rgb="FF000000"/>
        </bottom>
      </border>
    </dxf>
    <dxf>
      <border outline="0">
        <right style="medium">
          <color rgb="FF000000"/>
        </right>
        <top style="medium">
          <color rgb="FF000000"/>
        </top>
        <bottom style="thin">
          <color theme="8" tint="0.39997558519241921"/>
        </bottom>
      </border>
    </dxf>
    <dxf>
      <font>
        <b val="0"/>
        <i val="0"/>
        <strike val="0"/>
        <condense val="0"/>
        <extend val="0"/>
        <outline val="0"/>
        <shadow val="0"/>
        <u val="none"/>
        <vertAlign val="baseline"/>
        <sz val="10"/>
        <color theme="1"/>
        <name val="Calibri"/>
        <family val="2"/>
        <scheme val="minor"/>
      </font>
      <fill>
        <patternFill patternType="solid">
          <fgColor theme="8" tint="0.79998168889431442"/>
          <bgColor theme="8" tint="0.79998168889431442"/>
        </patternFill>
      </fill>
      <alignment horizontal="left"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rgb="FFF1C232"/>
          <bgColor rgb="FFF1C232"/>
        </patternFill>
      </fill>
      <alignment horizontal="center" vertical="center" textRotation="0" wrapText="1" indent="0" justifyLastLine="0" shrinkToFit="0" readingOrder="0"/>
    </dxf>
    <dxf>
      <font>
        <strike val="0"/>
        <outline val="0"/>
        <shadow val="0"/>
        <u val="none"/>
        <vertAlign val="baseline"/>
        <sz val="10"/>
        <name val="Calibri"/>
        <family val="2"/>
        <scheme val="minor"/>
      </font>
    </dxf>
    <dxf>
      <border outline="0">
        <bottom style="dotted">
          <color rgb="FF000000"/>
        </bottom>
      </border>
    </dxf>
    <dxf>
      <border outline="0">
        <top style="medium">
          <color rgb="FF000000"/>
        </top>
        <bottom style="dotted">
          <color rgb="FF000000"/>
        </bottom>
      </border>
    </dxf>
    <dxf>
      <font>
        <strike val="0"/>
        <outline val="0"/>
        <shadow val="0"/>
        <u val="none"/>
        <vertAlign val="baseline"/>
        <sz val="10"/>
        <name val="Calibri"/>
        <family val="2"/>
        <scheme val="minor"/>
      </font>
    </dxf>
    <dxf>
      <font>
        <b/>
        <i val="0"/>
        <strike val="0"/>
        <condense val="0"/>
        <extend val="0"/>
        <outline val="0"/>
        <shadow val="0"/>
        <u val="none"/>
        <vertAlign val="baseline"/>
        <sz val="12"/>
        <color theme="1"/>
        <name val="Calibri"/>
        <family val="2"/>
        <scheme val="minor"/>
      </font>
      <fill>
        <patternFill patternType="solid">
          <fgColor rgb="FFF1C232"/>
          <bgColor rgb="FFF1C232"/>
        </patternFill>
      </fill>
      <alignment horizontal="center"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E7B34"/>
      <rgbColor rgb="FF000080"/>
      <rgbColor rgb="FF808000"/>
      <rgbColor rgb="FF800080"/>
      <rgbColor rgb="FF008080"/>
      <rgbColor rgb="FFBBBBBB"/>
      <rgbColor rgb="FF777777"/>
      <rgbColor rgb="FF9999FF"/>
      <rgbColor rgb="FF993366"/>
      <rgbColor rgb="FFFFF3CC"/>
      <rgbColor rgb="FFE7F2E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E8B923"/>
      <rgbColor rgb="FFFF9900"/>
      <rgbColor rgb="FFFF6600"/>
      <rgbColor rgb="FF55555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MV\Desktop\Training%202024-25\THROWS\2025%20Season%20Lifting%20-%20Meso1%20(Jan%20-Mar).xlsx" TargetMode="External"/><Relationship Id="rId1" Type="http://schemas.openxmlformats.org/officeDocument/2006/relationships/externalLinkPath" Target="Training%202024-25/THROWS/2025%20Season%20Lifting%20-%20Meso1%20(Jan%20-Ma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ikey/OneDrive/Desktop/HMV/TRAINING/Training%20Templates/weight-lift-tracke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ikey/OneDrive/Desktop/HMV/TRAINING/Training%20Templates/Plan%20Template%20Blank.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HMV\Desktop\Training%202026\THROWS\Micro%20KOR.xlsx" TargetMode="External"/><Relationship Id="rId1" Type="http://schemas.openxmlformats.org/officeDocument/2006/relationships/externalLinkPath" Target="Training%202026/THROWS/Micro%20K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so 4 - ChampsWk - 2025"/>
      <sheetName val="Competition Calendar"/>
      <sheetName val="Meso 1 - 4 weeks"/>
      <sheetName val="LIFTS"/>
      <sheetName val="Meso 4 - Wk1 - 2024"/>
      <sheetName val="Meso 4 - Wk2 - 2024"/>
      <sheetName val="Meso 4 - Wk3 - 2024"/>
      <sheetName val="Meso 4 - Wk4 - 2025"/>
      <sheetName val="Sheet1"/>
      <sheetName val="MaxSheet"/>
      <sheetName val="Datasheet"/>
      <sheetName val="MaxMaster"/>
      <sheetName val="TestWeek Sch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stions"/>
      <sheetName val="Wendler's 5-3-1"/>
      <sheetName val="Stats"/>
      <sheetName val="Save Log"/>
    </sheetNames>
    <sheetDataSet>
      <sheetData sheetId="0">
        <row r="7">
          <cell r="C7">
            <v>45</v>
          </cell>
        </row>
        <row r="8">
          <cell r="E8" t="str">
            <v>Yes</v>
          </cell>
          <cell r="R8">
            <v>44207</v>
          </cell>
        </row>
        <row r="9">
          <cell r="C9">
            <v>5</v>
          </cell>
          <cell r="R9">
            <v>44209</v>
          </cell>
        </row>
        <row r="10">
          <cell r="R10">
            <v>44211</v>
          </cell>
        </row>
        <row r="11">
          <cell r="C11">
            <v>0.75</v>
          </cell>
          <cell r="R11">
            <v>44209</v>
          </cell>
        </row>
        <row r="15">
          <cell r="C15" t="str">
            <v>Squat</v>
          </cell>
        </row>
        <row r="16">
          <cell r="C16" t="str">
            <v>Bench Press</v>
          </cell>
        </row>
        <row r="17">
          <cell r="C17" t="str">
            <v>Deadlift</v>
          </cell>
        </row>
        <row r="18">
          <cell r="C18" t="str">
            <v>Shoulder Press</v>
          </cell>
        </row>
        <row r="21">
          <cell r="I21">
            <v>535</v>
          </cell>
        </row>
        <row r="22">
          <cell r="I22">
            <v>445</v>
          </cell>
        </row>
        <row r="23">
          <cell r="I23">
            <v>641</v>
          </cell>
        </row>
        <row r="24">
          <cell r="I24">
            <v>355</v>
          </cell>
        </row>
        <row r="28">
          <cell r="C28">
            <v>20</v>
          </cell>
        </row>
        <row r="29">
          <cell r="C29">
            <v>10</v>
          </cell>
        </row>
        <row r="30">
          <cell r="C30">
            <v>20</v>
          </cell>
        </row>
        <row r="31">
          <cell r="C31">
            <v>5</v>
          </cell>
        </row>
      </sheetData>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ual Plan - WIP"/>
      <sheetName val="Microcycle"/>
      <sheetName val="Categories"/>
    </sheetNames>
    <sheetDataSet>
      <sheetData sheetId="0"/>
      <sheetData sheetId="1"/>
      <sheetData sheetId="2">
        <row r="3">
          <cell r="R3" t="str">
            <v>1x1</v>
          </cell>
        </row>
        <row r="4">
          <cell r="R4" t="str">
            <v>1x2</v>
          </cell>
        </row>
        <row r="5">
          <cell r="R5" t="str">
            <v>1x3</v>
          </cell>
        </row>
        <row r="6">
          <cell r="R6" t="str">
            <v>1x5</v>
          </cell>
        </row>
        <row r="7">
          <cell r="R7" t="str">
            <v>2x1</v>
          </cell>
        </row>
        <row r="8">
          <cell r="R8" t="str">
            <v>2x10</v>
          </cell>
        </row>
        <row r="9">
          <cell r="R9" t="str">
            <v>2x15</v>
          </cell>
        </row>
        <row r="10">
          <cell r="R10" t="str">
            <v>2x2</v>
          </cell>
        </row>
        <row r="11">
          <cell r="R11" t="str">
            <v>2x20</v>
          </cell>
        </row>
        <row r="12">
          <cell r="R12" t="str">
            <v>2x25</v>
          </cell>
        </row>
        <row r="13">
          <cell r="R13" t="str">
            <v>2x3</v>
          </cell>
        </row>
        <row r="14">
          <cell r="R14" t="str">
            <v>2x30</v>
          </cell>
        </row>
        <row r="15">
          <cell r="R15" t="str">
            <v>2x40</v>
          </cell>
        </row>
        <row r="16">
          <cell r="R16" t="str">
            <v>2x5</v>
          </cell>
        </row>
        <row r="17">
          <cell r="R17" t="str">
            <v>2x8</v>
          </cell>
        </row>
        <row r="18">
          <cell r="R18" t="str">
            <v>3x1</v>
          </cell>
        </row>
        <row r="19">
          <cell r="R19" t="str">
            <v>3x10</v>
          </cell>
        </row>
        <row r="20">
          <cell r="R20" t="str">
            <v>3x12</v>
          </cell>
        </row>
        <row r="21">
          <cell r="R21" t="str">
            <v>3x15</v>
          </cell>
        </row>
        <row r="22">
          <cell r="R22" t="str">
            <v>3x3</v>
          </cell>
        </row>
        <row r="23">
          <cell r="R23" t="str">
            <v>3x5</v>
          </cell>
        </row>
        <row r="24">
          <cell r="R24" t="str">
            <v>3x8</v>
          </cell>
        </row>
        <row r="25">
          <cell r="R25" t="str">
            <v>4x1</v>
          </cell>
        </row>
        <row r="26">
          <cell r="R26" t="str">
            <v>4x10</v>
          </cell>
        </row>
        <row r="27">
          <cell r="R27" t="str">
            <v>4x15</v>
          </cell>
        </row>
        <row r="28">
          <cell r="R28" t="str">
            <v>4x20</v>
          </cell>
        </row>
        <row r="29">
          <cell r="R29" t="str">
            <v>4x3</v>
          </cell>
        </row>
        <row r="30">
          <cell r="R30" t="str">
            <v>4x4</v>
          </cell>
        </row>
        <row r="31">
          <cell r="R31" t="str">
            <v>4x5</v>
          </cell>
        </row>
        <row r="32">
          <cell r="R32" t="str">
            <v>4x6</v>
          </cell>
        </row>
        <row r="33">
          <cell r="R33" t="str">
            <v>4x8</v>
          </cell>
        </row>
        <row r="34">
          <cell r="R34" t="str">
            <v>5x1</v>
          </cell>
        </row>
        <row r="35">
          <cell r="R35" t="str">
            <v>5x2</v>
          </cell>
        </row>
        <row r="36">
          <cell r="R36" t="str">
            <v>5x3</v>
          </cell>
        </row>
        <row r="37">
          <cell r="R37" t="str">
            <v>5x4</v>
          </cell>
        </row>
        <row r="38">
          <cell r="R38" t="str">
            <v>5x5</v>
          </cell>
        </row>
        <row r="39">
          <cell r="R39" t="str">
            <v>5x6</v>
          </cell>
        </row>
        <row r="40">
          <cell r="R40" t="str">
            <v>5x8</v>
          </cell>
        </row>
        <row r="41">
          <cell r="R41" t="str">
            <v>6x4</v>
          </cell>
        </row>
        <row r="42">
          <cell r="R42" t="str">
            <v>AMRAP</v>
          </cell>
        </row>
        <row r="44">
          <cell r="R44" t="str">
            <v>TimeBased</v>
          </cell>
        </row>
        <row r="45">
          <cell r="R45" t="str">
            <v xml:space="preserve"> 30s/15s</v>
          </cell>
        </row>
        <row r="46">
          <cell r="R46" t="str">
            <v xml:space="preserve"> 40s/20s</v>
          </cell>
        </row>
        <row r="47">
          <cell r="R47" t="str">
            <v>40s</v>
          </cell>
        </row>
        <row r="48">
          <cell r="R48" t="str">
            <v>60s</v>
          </cell>
        </row>
        <row r="49">
          <cell r="R49"/>
        </row>
        <row r="50">
          <cell r="R50" t="str">
            <v>Compound Sets</v>
          </cell>
        </row>
        <row r="51">
          <cell r="R51" t="str">
            <v>3x1,1,1</v>
          </cell>
        </row>
        <row r="52">
          <cell r="R52" t="str">
            <v>3x3,1,1</v>
          </cell>
        </row>
        <row r="53">
          <cell r="R53" t="str">
            <v>3x3,3,1</v>
          </cell>
        </row>
        <row r="54">
          <cell r="R54" t="str">
            <v>3x5,3,1</v>
          </cell>
        </row>
        <row r="55">
          <cell r="R55" t="str">
            <v>3x5,3,3</v>
          </cell>
        </row>
        <row r="56">
          <cell r="R56" t="str">
            <v>3x5,5,3</v>
          </cell>
        </row>
        <row r="57">
          <cell r="R57" t="str">
            <v>5x3,3,1,1,1</v>
          </cell>
        </row>
        <row r="58">
          <cell r="R58" t="str">
            <v>5x3,3,3,1,1</v>
          </cell>
        </row>
        <row r="59">
          <cell r="R59" t="str">
            <v>5x3,5,7,5,3</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thletes"/>
      <sheetName val="Javelin - Big Shot"/>
      <sheetName val="King of the Ring"/>
      <sheetName val="Sheet4"/>
      <sheetName val="Gliders - Big Shot"/>
      <sheetName val="Sheet3"/>
      <sheetName val="Competition Calendar"/>
      <sheetName val="Meso 1 - 4 weeks"/>
      <sheetName val="LIFTS"/>
      <sheetName val="Micro Planning TEMPLATE"/>
      <sheetName val="MaxSheet"/>
      <sheetName val="Datasheet"/>
      <sheetName val="MaxMaster"/>
      <sheetName val="Max_Tracker"/>
      <sheetName val="Sheet1"/>
      <sheetName val="Meso 2 - Wk1 - 2024"/>
      <sheetName val="TestWeek Sched"/>
      <sheetName val="Sheet2"/>
      <sheetName val="Micro to Dec 24 -Javelin"/>
      <sheetName val="Micro to Dec 24 TEST"/>
      <sheetName val="Micro 3 of 3 (Dec 08) SP Gl"/>
      <sheetName val="Micro 3 of 3 (Dec 08)Di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B2" t="str">
            <v>Names</v>
          </cell>
          <cell r="C2" t="str">
            <v>WIDE BENCH PRESS</v>
          </cell>
          <cell r="D2" t="str">
            <v>BACK PRESS</v>
          </cell>
          <cell r="E2" t="str">
            <v>SQUATS</v>
          </cell>
          <cell r="F2" t="str">
            <v>CLEANS</v>
          </cell>
          <cell r="G2" t="str">
            <v>SNATCH</v>
          </cell>
          <cell r="H2" t="str">
            <v>DEADLIFTS</v>
          </cell>
        </row>
        <row r="3">
          <cell r="B3" t="str">
            <v>Acacia Livermore</v>
          </cell>
          <cell r="E3">
            <v>175</v>
          </cell>
          <cell r="H3">
            <v>200</v>
          </cell>
        </row>
        <row r="4">
          <cell r="B4" t="str">
            <v>Adonay Fearon</v>
          </cell>
          <cell r="C4">
            <v>245</v>
          </cell>
          <cell r="D4">
            <v>225</v>
          </cell>
          <cell r="E4">
            <v>315</v>
          </cell>
          <cell r="F4">
            <v>160</v>
          </cell>
          <cell r="G4">
            <v>105</v>
          </cell>
          <cell r="H4">
            <v>200</v>
          </cell>
        </row>
        <row r="5">
          <cell r="B5" t="str">
            <v>Akayla Brown</v>
          </cell>
          <cell r="C5">
            <v>235</v>
          </cell>
          <cell r="D5">
            <v>245</v>
          </cell>
          <cell r="E5">
            <v>305</v>
          </cell>
          <cell r="F5">
            <v>125</v>
          </cell>
          <cell r="G5">
            <v>100</v>
          </cell>
          <cell r="H5">
            <v>205</v>
          </cell>
        </row>
        <row r="6">
          <cell r="B6" t="str">
            <v>Altonique James</v>
          </cell>
          <cell r="C6">
            <v>235</v>
          </cell>
          <cell r="D6">
            <v>225</v>
          </cell>
          <cell r="E6">
            <v>365</v>
          </cell>
          <cell r="F6">
            <v>145</v>
          </cell>
          <cell r="G6">
            <v>110</v>
          </cell>
        </row>
        <row r="7">
          <cell r="B7" t="str">
            <v>Alyssa Forrester</v>
          </cell>
          <cell r="C7">
            <v>225</v>
          </cell>
          <cell r="D7">
            <v>185</v>
          </cell>
          <cell r="E7">
            <v>385</v>
          </cell>
          <cell r="F7">
            <v>135</v>
          </cell>
          <cell r="H7">
            <v>300</v>
          </cell>
        </row>
        <row r="8">
          <cell r="B8" t="str">
            <v>Brianna Durrant</v>
          </cell>
        </row>
        <row r="9">
          <cell r="B9" t="str">
            <v>Brycen Bailey</v>
          </cell>
          <cell r="C9">
            <v>245</v>
          </cell>
          <cell r="D9">
            <v>215</v>
          </cell>
          <cell r="E9">
            <v>405</v>
          </cell>
          <cell r="F9">
            <v>185</v>
          </cell>
          <cell r="H9">
            <v>400</v>
          </cell>
        </row>
        <row r="10">
          <cell r="B10" t="str">
            <v>Czedann</v>
          </cell>
          <cell r="C10">
            <v>175</v>
          </cell>
          <cell r="D10">
            <v>185</v>
          </cell>
          <cell r="E10">
            <v>165</v>
          </cell>
          <cell r="F10">
            <v>155</v>
          </cell>
          <cell r="H10">
            <v>300</v>
          </cell>
        </row>
        <row r="11">
          <cell r="B11" t="str">
            <v>Daniel Thompson</v>
          </cell>
          <cell r="C11">
            <v>375</v>
          </cell>
          <cell r="D11">
            <v>315</v>
          </cell>
          <cell r="E11">
            <v>500</v>
          </cell>
          <cell r="F11">
            <v>225</v>
          </cell>
          <cell r="G11">
            <v>185</v>
          </cell>
          <cell r="H11">
            <v>300</v>
          </cell>
        </row>
        <row r="12">
          <cell r="B12" t="str">
            <v>Enola Myers</v>
          </cell>
          <cell r="C12">
            <v>145</v>
          </cell>
          <cell r="D12">
            <v>135</v>
          </cell>
          <cell r="E12">
            <v>265</v>
          </cell>
          <cell r="F12">
            <v>105</v>
          </cell>
          <cell r="H12">
            <v>255</v>
          </cell>
        </row>
        <row r="13">
          <cell r="B13" t="str">
            <v>Johnathon Henriques</v>
          </cell>
          <cell r="C13">
            <v>205</v>
          </cell>
          <cell r="D13">
            <v>175</v>
          </cell>
          <cell r="E13">
            <v>365</v>
          </cell>
          <cell r="F13">
            <v>125</v>
          </cell>
          <cell r="H13">
            <v>255</v>
          </cell>
        </row>
        <row r="14">
          <cell r="B14" t="str">
            <v>Joshua Gardner</v>
          </cell>
          <cell r="C14">
            <v>150</v>
          </cell>
          <cell r="D14">
            <v>165</v>
          </cell>
          <cell r="E14">
            <v>265</v>
          </cell>
          <cell r="F14">
            <v>125</v>
          </cell>
          <cell r="H14">
            <v>255</v>
          </cell>
        </row>
        <row r="15">
          <cell r="B15" t="str">
            <v>Joshua Munroe</v>
          </cell>
          <cell r="C15">
            <v>325</v>
          </cell>
          <cell r="D15">
            <v>305</v>
          </cell>
          <cell r="E15">
            <v>455</v>
          </cell>
          <cell r="F15">
            <v>225</v>
          </cell>
          <cell r="G15">
            <v>160</v>
          </cell>
          <cell r="H15">
            <v>400</v>
          </cell>
        </row>
        <row r="16">
          <cell r="B16" t="str">
            <v>Katie Gordon</v>
          </cell>
          <cell r="C16">
            <v>265</v>
          </cell>
          <cell r="D16">
            <v>205</v>
          </cell>
          <cell r="E16">
            <v>350</v>
          </cell>
          <cell r="F16">
            <v>175</v>
          </cell>
          <cell r="G16">
            <v>115</v>
          </cell>
          <cell r="H16">
            <v>280</v>
          </cell>
        </row>
        <row r="17">
          <cell r="B17" t="str">
            <v>Kayla Honeywell</v>
          </cell>
          <cell r="C17">
            <v>195</v>
          </cell>
          <cell r="D17">
            <v>195</v>
          </cell>
          <cell r="E17">
            <v>385</v>
          </cell>
          <cell r="F17">
            <v>135</v>
          </cell>
          <cell r="G17">
            <v>105</v>
          </cell>
          <cell r="H17">
            <v>235</v>
          </cell>
        </row>
        <row r="18">
          <cell r="B18" t="str">
            <v>Lamoy Livingston</v>
          </cell>
          <cell r="C18">
            <v>185</v>
          </cell>
          <cell r="D18">
            <v>165</v>
          </cell>
          <cell r="E18">
            <v>295</v>
          </cell>
          <cell r="F18">
            <v>115</v>
          </cell>
          <cell r="G18">
            <v>90</v>
          </cell>
          <cell r="H18">
            <v>255</v>
          </cell>
        </row>
        <row r="19">
          <cell r="B19" t="str">
            <v>Oneil Collins</v>
          </cell>
          <cell r="C19">
            <v>455</v>
          </cell>
          <cell r="D19">
            <v>335</v>
          </cell>
          <cell r="E19">
            <v>455</v>
          </cell>
          <cell r="F19">
            <v>295</v>
          </cell>
          <cell r="G19">
            <v>205</v>
          </cell>
          <cell r="H19">
            <v>455</v>
          </cell>
        </row>
        <row r="20">
          <cell r="B20" t="str">
            <v>Romel Stewart</v>
          </cell>
          <cell r="C20">
            <v>225</v>
          </cell>
          <cell r="D20">
            <v>205</v>
          </cell>
          <cell r="E20">
            <v>335</v>
          </cell>
          <cell r="F20">
            <v>165</v>
          </cell>
          <cell r="H20">
            <v>300</v>
          </cell>
        </row>
        <row r="21">
          <cell r="B21" t="str">
            <v>Shamar Russell</v>
          </cell>
          <cell r="C21">
            <v>385</v>
          </cell>
          <cell r="D21">
            <v>295</v>
          </cell>
          <cell r="E21">
            <v>455</v>
          </cell>
          <cell r="F21">
            <v>220</v>
          </cell>
          <cell r="G21">
            <v>170</v>
          </cell>
          <cell r="H21">
            <v>450</v>
          </cell>
        </row>
        <row r="22">
          <cell r="B22" t="str">
            <v>Tamar Austin</v>
          </cell>
          <cell r="C22">
            <v>155</v>
          </cell>
          <cell r="D22">
            <v>135</v>
          </cell>
          <cell r="E22">
            <v>355</v>
          </cell>
          <cell r="F22">
            <v>115</v>
          </cell>
          <cell r="G22">
            <v>80</v>
          </cell>
          <cell r="H22">
            <v>175</v>
          </cell>
        </row>
        <row r="23">
          <cell r="B23" t="str">
            <v>Tianna McEwan</v>
          </cell>
          <cell r="C23">
            <v>140</v>
          </cell>
          <cell r="D23">
            <v>145</v>
          </cell>
          <cell r="E23">
            <v>235</v>
          </cell>
          <cell r="H23">
            <v>200</v>
          </cell>
        </row>
        <row r="24">
          <cell r="B24" t="str">
            <v>Tizanyah Campbell</v>
          </cell>
          <cell r="C24">
            <v>125</v>
          </cell>
          <cell r="D24">
            <v>150</v>
          </cell>
          <cell r="E24">
            <v>185</v>
          </cell>
          <cell r="F24">
            <v>85</v>
          </cell>
          <cell r="H24">
            <v>200</v>
          </cell>
        </row>
        <row r="25">
          <cell r="B25" t="str">
            <v>Touri Ann Montique</v>
          </cell>
          <cell r="C25">
            <v>155</v>
          </cell>
          <cell r="D25">
            <v>145</v>
          </cell>
          <cell r="E25">
            <v>255</v>
          </cell>
          <cell r="F25">
            <v>75</v>
          </cell>
          <cell r="H25">
            <v>200</v>
          </cell>
        </row>
        <row r="26">
          <cell r="B26" t="str">
            <v>Tyear Anckle</v>
          </cell>
          <cell r="C26">
            <v>205</v>
          </cell>
          <cell r="D26">
            <v>185</v>
          </cell>
          <cell r="E26">
            <v>295</v>
          </cell>
          <cell r="F26">
            <v>175</v>
          </cell>
          <cell r="H26">
            <v>300</v>
          </cell>
        </row>
        <row r="27">
          <cell r="B27" t="str">
            <v>Zoey Ann Plummer</v>
          </cell>
          <cell r="C27">
            <v>145</v>
          </cell>
          <cell r="D27">
            <v>145</v>
          </cell>
          <cell r="E27">
            <v>285</v>
          </cell>
          <cell r="F27">
            <v>135</v>
          </cell>
          <cell r="G27">
            <v>0</v>
          </cell>
          <cell r="H27">
            <v>255</v>
          </cell>
        </row>
      </sheetData>
      <sheetData sheetId="13"/>
      <sheetData sheetId="14"/>
      <sheetData sheetId="15"/>
      <sheetData sheetId="16"/>
      <sheetData sheetId="17"/>
      <sheetData sheetId="18"/>
      <sheetData sheetId="19"/>
      <sheetData sheetId="20"/>
      <sheetData sheetId="2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C6DC99-8DCD-4D2B-B449-F45294B9DE50}" name="Table2" displayName="Table2" ref="A1:A10" totalsRowShown="0" headerRowDxfId="69" dataDxfId="68" headerRowBorderDxfId="66" tableBorderDxfId="67">
  <autoFilter ref="A1:A10" xr:uid="{BA34E6A6-787D-4455-B492-5A8E1D5BB411}"/>
  <tableColumns count="1">
    <tableColumn id="1" xr3:uid="{F7593879-0D8B-46FB-A012-E441300187EF}" name="UpperBody" dataDxfId="65"/>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258A33-214A-4661-B044-F89ECD09EFD8}" name="Table3" displayName="Table3" ref="B1:B16" totalsRowShown="0" headerRowDxfId="64" dataDxfId="63" headerRowBorderDxfId="61" tableBorderDxfId="62">
  <autoFilter ref="B1:B16" xr:uid="{E41A01FF-D0EB-49D5-9EC5-964019D14C0E}"/>
  <tableColumns count="1">
    <tableColumn id="1" xr3:uid="{2F5B5264-0E30-4D0C-A029-E63264409386}" name="LowerBody" dataDxfId="6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F4AAC0-D808-4D8E-84D3-705049B1D01E}" name="Table4" displayName="Table4" ref="C1:C8" totalsRowShown="0" headerRowDxfId="59" dataDxfId="58" headerRowBorderDxfId="56" tableBorderDxfId="57" totalsRowBorderDxfId="55">
  <autoFilter ref="C1:C8" xr:uid="{219B6F87-4CB2-4745-B984-64D25E385D88}"/>
  <tableColumns count="1">
    <tableColumn id="1" xr3:uid="{7FD696D3-BA46-46A1-94B7-339819A5A0DB}" name="OlympicLifts" dataDxfId="54"/>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CC26FA-6061-4429-8D23-0031D8FA6EE9}" name="Table5" displayName="Table5" ref="D1:D10" totalsRowShown="0" headerRowDxfId="53" dataDxfId="52" headerRowBorderDxfId="50" tableBorderDxfId="51" totalsRowBorderDxfId="49">
  <autoFilter ref="D1:D10" xr:uid="{98DEEFDC-F72A-4276-AA56-CD726665AF41}"/>
  <tableColumns count="1">
    <tableColumn id="1" xr3:uid="{8B9B456A-61C9-4DDC-B6FB-8F64C30E30DC}" name="Ancillary" dataDxfId="4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9995978-4A44-430C-B1F0-7073B8FDFA3C}" name="Table6" displayName="Table6" ref="E1:E8" totalsRowShown="0" headerRowDxfId="47" dataDxfId="46" headerRowBorderDxfId="44" tableBorderDxfId="45" totalsRowBorderDxfId="43">
  <autoFilter ref="E1:E8" xr:uid="{63D081AF-59AB-4880-AE75-696C667FF434}"/>
  <tableColumns count="1">
    <tableColumn id="1" xr3:uid="{7F7CD1AC-33CA-4EC2-B550-88AA232B4A38}" name="Support" dataDxfId="42"/>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4826BAB-6DF2-4244-82D8-4B3248BAC537}" name="Table7" displayName="Table7" ref="F1:F5" totalsRowShown="0" headerRowDxfId="41" dataDxfId="40" headerRowBorderDxfId="38" tableBorderDxfId="39" totalsRowBorderDxfId="37">
  <autoFilter ref="F1:F5" xr:uid="{6BA25A06-174D-40C1-8B40-CE8891042F00}"/>
  <tableColumns count="1">
    <tableColumn id="1" xr3:uid="{8091B8D0-9FF9-4D60-AF58-956390E13903}" name="SpecialStrength" dataDxfId="36"/>
  </tableColumns>
  <tableStyleInfo name="TableStyleMedium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1106EA3-3B37-42BF-BD4E-0E189B1DFC8C}" name="Table8" displayName="Table8" ref="G1:G5" totalsRowShown="0" headerRowDxfId="35" dataDxfId="34" headerRowBorderDxfId="32" tableBorderDxfId="33" totalsRowBorderDxfId="31">
  <autoFilter ref="G1:G5" xr:uid="{AF2D7EA7-9E1B-4AAC-95A7-D4FFF878FADE}"/>
  <tableColumns count="1">
    <tableColumn id="1" xr3:uid="{9D503B5C-D7BC-4026-9881-0BA3EEC34D11}" name="Compound" dataDxfId="30"/>
  </tableColumns>
  <tableStyleInfo name="TableStyleMedium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3150098-8857-463C-B90D-9DF700F69B02}" name="Table9" displayName="Table9" ref="H1:H31" totalsRowShown="0" headerRowDxfId="29" dataDxfId="28" headerRowBorderDxfId="26" tableBorderDxfId="27" totalsRowBorderDxfId="25">
  <autoFilter ref="H1:H31" xr:uid="{83874223-A647-4046-9F39-A613F83015AF}"/>
  <tableColumns count="1">
    <tableColumn id="1" xr3:uid="{7C92D62B-C5CD-474C-9EF1-D22876BABA38}" name="Bodyweight" dataDxfId="24"/>
  </tableColumns>
  <tableStyleInfo name="TableStyleMedium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8CA8EA8-DB4C-4901-98A4-E9DFEEF3AF67}" name="Table10" displayName="Table10" ref="I1:I66" totalsRowShown="0" headerRowDxfId="23" dataDxfId="22" headerRowBorderDxfId="20" tableBorderDxfId="21" totalsRowBorderDxfId="19">
  <autoFilter ref="I1:I66" xr:uid="{9CC44CBA-963C-4E92-80F7-0B6A642720EA}"/>
  <tableColumns count="1">
    <tableColumn id="1" xr3:uid="{54A55C22-C2D5-4DE3-864F-4FA4175D8F64}" name="AbsCoreGlutes" dataDxfId="18"/>
  </tableColumns>
  <tableStyleInfo name="TableStyleMedium2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C497C39-B9E0-42A4-9241-9CA83411187B}" name="Table11" displayName="Table11" ref="J1:J15" totalsRowShown="0" headerRowDxfId="17" dataDxfId="16" headerRowBorderDxfId="14" tableBorderDxfId="15" totalsRowBorderDxfId="13">
  <autoFilter ref="J1:J15" xr:uid="{BB12D5CB-0DD0-4605-84DC-31D6B2CF7D20}"/>
  <tableColumns count="1">
    <tableColumn id="1" xr3:uid="{D0EDF83E-586E-4730-84CB-42A47262FC60}" name="HIIT_WORKOUT" dataDxfId="12"/>
  </tableColumns>
  <tableStyleInfo name="TableStyleMedium1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9EC19FD-2FD7-4B66-A772-C444B3350E02}" name="Table12" displayName="Table12" ref="K1:K7" totalsRowShown="0" headerRowDxfId="11" dataDxfId="10" headerRowBorderDxfId="8" tableBorderDxfId="9" totalsRowBorderDxfId="7">
  <autoFilter ref="K1:K7" xr:uid="{38D55FF7-E1DF-49E0-9642-3976D8179F47}"/>
  <tableColumns count="1">
    <tableColumn id="1" xr3:uid="{0BFFC663-49A6-4270-A0D5-EA7B7943DCF9}" name="MedBallMobility" dataDxfId="6"/>
  </tableColumns>
  <tableStyleInfo name="TableStyleMedium1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E81B4D9-BE8C-4147-A886-9A97261ECF4F}" name="Table13" displayName="Table13" ref="L1:L13" totalsRowShown="0" headerRowDxfId="5" dataDxfId="4" headerRowBorderDxfId="2" tableBorderDxfId="3" totalsRowBorderDxfId="1">
  <autoFilter ref="L1:L13" xr:uid="{E53FF7AA-6A19-49E1-B8F5-BCC9B041BD68}"/>
  <tableColumns count="1">
    <tableColumn id="1" xr3:uid="{B8266583-BF99-4101-B1F8-C5D25FD3524F}" name="RBands"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3"/>
  <sheetViews>
    <sheetView zoomScaleNormal="100" workbookViewId="0"/>
  </sheetViews>
  <sheetFormatPr defaultColWidth="8.6328125" defaultRowHeight="14.5" x14ac:dyDescent="0.35"/>
  <cols>
    <col min="1" max="1" width="4" style="1" customWidth="1"/>
    <col min="2" max="2" width="110" style="1" customWidth="1"/>
  </cols>
  <sheetData>
    <row r="1" spans="2:2" ht="19.5" customHeight="1" x14ac:dyDescent="0.4">
      <c r="B1" s="2" t="s">
        <v>0</v>
      </c>
    </row>
    <row r="2" spans="2:2" ht="15" customHeight="1" x14ac:dyDescent="0.35">
      <c r="B2" s="3" t="s">
        <v>1</v>
      </c>
    </row>
    <row r="4" spans="2:2" ht="15" customHeight="1" x14ac:dyDescent="0.35">
      <c r="B4" s="4"/>
    </row>
    <row r="5" spans="2:2" ht="15" customHeight="1" x14ac:dyDescent="0.35">
      <c r="B5" s="5" t="s">
        <v>2</v>
      </c>
    </row>
    <row r="6" spans="2:2" ht="34.5" customHeight="1" x14ac:dyDescent="0.35">
      <c r="B6" s="4" t="s">
        <v>3</v>
      </c>
    </row>
    <row r="7" spans="2:2" ht="15" customHeight="1" x14ac:dyDescent="0.35">
      <c r="B7" s="4"/>
    </row>
    <row r="8" spans="2:2" ht="15" customHeight="1" x14ac:dyDescent="0.35">
      <c r="B8" s="5" t="s">
        <v>4</v>
      </c>
    </row>
    <row r="9" spans="2:2" ht="23.25" customHeight="1" x14ac:dyDescent="0.35">
      <c r="B9" s="4" t="s">
        <v>5</v>
      </c>
    </row>
    <row r="10" spans="2:2" ht="23.25" customHeight="1" x14ac:dyDescent="0.35">
      <c r="B10" s="4" t="s">
        <v>6</v>
      </c>
    </row>
    <row r="11" spans="2:2" ht="23.25" customHeight="1" x14ac:dyDescent="0.35">
      <c r="B11" s="4" t="s">
        <v>7</v>
      </c>
    </row>
    <row r="12" spans="2:2" ht="23.25" customHeight="1" x14ac:dyDescent="0.35">
      <c r="B12" s="4" t="s">
        <v>8</v>
      </c>
    </row>
    <row r="13" spans="2:2" ht="23.25" customHeight="1" x14ac:dyDescent="0.35">
      <c r="B13" s="4" t="s">
        <v>9</v>
      </c>
    </row>
    <row r="14" spans="2:2" ht="15" customHeight="1" x14ac:dyDescent="0.35">
      <c r="B14" s="4" t="s">
        <v>10</v>
      </c>
    </row>
    <row r="15" spans="2:2" ht="23.25" customHeight="1" x14ac:dyDescent="0.35">
      <c r="B15" s="4" t="s">
        <v>11</v>
      </c>
    </row>
    <row r="16" spans="2:2" ht="15" customHeight="1" x14ac:dyDescent="0.35">
      <c r="B16" s="4" t="s">
        <v>12</v>
      </c>
    </row>
    <row r="17" spans="2:2" ht="15" customHeight="1" x14ac:dyDescent="0.35">
      <c r="B17" s="4"/>
    </row>
    <row r="18" spans="2:2" ht="15" customHeight="1" x14ac:dyDescent="0.35">
      <c r="B18" s="5" t="s">
        <v>13</v>
      </c>
    </row>
    <row r="19" spans="2:2" ht="15" customHeight="1" x14ac:dyDescent="0.35">
      <c r="B19" s="4" t="s">
        <v>14</v>
      </c>
    </row>
    <row r="20" spans="2:2" ht="23.25" customHeight="1" x14ac:dyDescent="0.35">
      <c r="B20" s="4" t="s">
        <v>15</v>
      </c>
    </row>
    <row r="21" spans="2:2" ht="23.25" customHeight="1" x14ac:dyDescent="0.35">
      <c r="B21" s="4" t="s">
        <v>16</v>
      </c>
    </row>
    <row r="22" spans="2:2" ht="23.25" customHeight="1" x14ac:dyDescent="0.35">
      <c r="B22" s="4" t="s">
        <v>17</v>
      </c>
    </row>
    <row r="23" spans="2:2" ht="23.25" customHeight="1" x14ac:dyDescent="0.35">
      <c r="B23" s="4" t="s">
        <v>18</v>
      </c>
    </row>
    <row r="24" spans="2:2" ht="23.25" customHeight="1" x14ac:dyDescent="0.35">
      <c r="B24" s="4" t="s">
        <v>19</v>
      </c>
    </row>
    <row r="25" spans="2:2" ht="15" customHeight="1" x14ac:dyDescent="0.35">
      <c r="B25" s="4"/>
    </row>
    <row r="26" spans="2:2" ht="15" customHeight="1" x14ac:dyDescent="0.35">
      <c r="B26" s="5" t="s">
        <v>20</v>
      </c>
    </row>
    <row r="27" spans="2:2" ht="23.25" customHeight="1" x14ac:dyDescent="0.35">
      <c r="B27" s="4" t="s">
        <v>21</v>
      </c>
    </row>
    <row r="28" spans="2:2" ht="15" customHeight="1" x14ac:dyDescent="0.35">
      <c r="B28" s="4" t="s">
        <v>22</v>
      </c>
    </row>
    <row r="29" spans="2:2" ht="23.25" customHeight="1" x14ac:dyDescent="0.35">
      <c r="B29" s="4" t="s">
        <v>23</v>
      </c>
    </row>
    <row r="30" spans="2:2" ht="15" customHeight="1" x14ac:dyDescent="0.35">
      <c r="B30" s="4" t="s">
        <v>24</v>
      </c>
    </row>
    <row r="31" spans="2:2" ht="15" customHeight="1" x14ac:dyDescent="0.35">
      <c r="B31" s="4"/>
    </row>
    <row r="32" spans="2:2" ht="15" customHeight="1" x14ac:dyDescent="0.35">
      <c r="B32" s="5" t="s">
        <v>25</v>
      </c>
    </row>
    <row r="33" spans="2:2" ht="15" customHeight="1" x14ac:dyDescent="0.35">
      <c r="B33" s="4" t="s">
        <v>26</v>
      </c>
    </row>
    <row r="34" spans="2:2" ht="15" customHeight="1" x14ac:dyDescent="0.35">
      <c r="B34" s="4" t="s">
        <v>27</v>
      </c>
    </row>
    <row r="35" spans="2:2" ht="15" customHeight="1" x14ac:dyDescent="0.35">
      <c r="B35" s="4" t="s">
        <v>28</v>
      </c>
    </row>
    <row r="37" spans="2:2" ht="15" customHeight="1" x14ac:dyDescent="0.35">
      <c r="B37" s="5" t="s">
        <v>29</v>
      </c>
    </row>
    <row r="38" spans="2:2" ht="34.5" customHeight="1" x14ac:dyDescent="0.35">
      <c r="B38" s="4" t="s">
        <v>30</v>
      </c>
    </row>
    <row r="39" spans="2:2" ht="23.25" customHeight="1" x14ac:dyDescent="0.35">
      <c r="B39" s="4" t="s">
        <v>31</v>
      </c>
    </row>
    <row r="40" spans="2:2" ht="34.5" customHeight="1" x14ac:dyDescent="0.35">
      <c r="B40" s="4" t="s">
        <v>32</v>
      </c>
    </row>
    <row r="41" spans="2:2" ht="15" customHeight="1" x14ac:dyDescent="0.35">
      <c r="B41" s="4" t="s">
        <v>33</v>
      </c>
    </row>
    <row r="42" spans="2:2" ht="15" customHeight="1" x14ac:dyDescent="0.35">
      <c r="B42" s="4" t="s">
        <v>34</v>
      </c>
    </row>
    <row r="43" spans="2:2" ht="23.25" customHeight="1" x14ac:dyDescent="0.35">
      <c r="B43" s="4" t="s">
        <v>35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zoomScaleNormal="100" workbookViewId="0">
      <selection activeCell="B18" sqref="B18"/>
    </sheetView>
  </sheetViews>
  <sheetFormatPr defaultColWidth="8.6328125" defaultRowHeight="14.5" x14ac:dyDescent="0.35"/>
  <cols>
    <col min="1" max="1" width="22" style="1" customWidth="1"/>
    <col min="2" max="2" width="16" style="1" customWidth="1"/>
    <col min="3" max="3" width="8" style="1" customWidth="1"/>
    <col min="4" max="4" width="12" style="1" customWidth="1"/>
    <col min="5" max="6" width="26" style="1" customWidth="1"/>
  </cols>
  <sheetData>
    <row r="1" spans="1:6" ht="15" customHeight="1" x14ac:dyDescent="0.35">
      <c r="A1" s="6" t="s">
        <v>36</v>
      </c>
      <c r="B1" s="6" t="s">
        <v>37</v>
      </c>
      <c r="C1" s="6" t="s">
        <v>38</v>
      </c>
      <c r="D1" s="6" t="s">
        <v>39</v>
      </c>
      <c r="E1" s="6" t="s">
        <v>40</v>
      </c>
      <c r="F1" s="6" t="s">
        <v>41</v>
      </c>
    </row>
    <row r="2" spans="1:6" ht="15" customHeight="1" x14ac:dyDescent="0.35">
      <c r="A2" s="7" t="s">
        <v>42</v>
      </c>
      <c r="B2" s="7" t="s">
        <v>43</v>
      </c>
      <c r="C2" s="7" t="s">
        <v>44</v>
      </c>
      <c r="D2" s="7" t="s">
        <v>45</v>
      </c>
      <c r="E2" s="7" t="s">
        <v>46</v>
      </c>
      <c r="F2" s="7" t="s">
        <v>47</v>
      </c>
    </row>
    <row r="3" spans="1:6" ht="15" customHeight="1" x14ac:dyDescent="0.35">
      <c r="A3" s="7" t="s">
        <v>48</v>
      </c>
      <c r="B3" s="7" t="s">
        <v>49</v>
      </c>
      <c r="C3" s="7" t="s">
        <v>50</v>
      </c>
      <c r="D3" s="7" t="s">
        <v>51</v>
      </c>
      <c r="E3" s="7" t="s">
        <v>52</v>
      </c>
      <c r="F3" s="7" t="s">
        <v>53</v>
      </c>
    </row>
    <row r="4" spans="1:6" ht="15" customHeight="1" x14ac:dyDescent="0.35">
      <c r="A4" s="7" t="s">
        <v>54</v>
      </c>
      <c r="B4" s="7" t="s">
        <v>55</v>
      </c>
      <c r="D4" s="7" t="s">
        <v>56</v>
      </c>
      <c r="E4" s="7" t="s">
        <v>57</v>
      </c>
      <c r="F4" s="7" t="s">
        <v>58</v>
      </c>
    </row>
    <row r="5" spans="1:6" ht="15" customHeight="1" x14ac:dyDescent="0.35">
      <c r="A5" s="7" t="s">
        <v>59</v>
      </c>
      <c r="B5" s="7" t="s">
        <v>60</v>
      </c>
      <c r="E5" s="7" t="s">
        <v>61</v>
      </c>
      <c r="F5" s="7" t="s">
        <v>62</v>
      </c>
    </row>
    <row r="6" spans="1:6" ht="15" customHeight="1" x14ac:dyDescent="0.35">
      <c r="A6" s="7" t="s">
        <v>63</v>
      </c>
      <c r="E6" s="7" t="s">
        <v>64</v>
      </c>
      <c r="F6" s="7" t="s">
        <v>65</v>
      </c>
    </row>
    <row r="7" spans="1:6" ht="15" customHeight="1" x14ac:dyDescent="0.35">
      <c r="A7" s="7" t="s">
        <v>66</v>
      </c>
      <c r="E7" s="7" t="s">
        <v>67</v>
      </c>
      <c r="F7" s="7" t="s">
        <v>68</v>
      </c>
    </row>
    <row r="8" spans="1:6" ht="15" customHeight="1" x14ac:dyDescent="0.35">
      <c r="E8" s="7" t="s">
        <v>69</v>
      </c>
      <c r="F8" s="7" t="s">
        <v>70</v>
      </c>
    </row>
    <row r="9" spans="1:6" ht="15" customHeight="1" x14ac:dyDescent="0.35">
      <c r="E9" s="7" t="s">
        <v>71</v>
      </c>
      <c r="F9" s="7" t="s">
        <v>72</v>
      </c>
    </row>
    <row r="10" spans="1:6" ht="15" customHeight="1" x14ac:dyDescent="0.35">
      <c r="F10" s="7" t="s">
        <v>73</v>
      </c>
    </row>
    <row r="11" spans="1:6" ht="15" customHeight="1" x14ac:dyDescent="0.35">
      <c r="F11" s="7" t="s">
        <v>74</v>
      </c>
    </row>
    <row r="12" spans="1:6" ht="15" customHeight="1" x14ac:dyDescent="0.35">
      <c r="F12" s="7" t="s">
        <v>75</v>
      </c>
    </row>
    <row r="13" spans="1:6" ht="15" customHeight="1" x14ac:dyDescent="0.35">
      <c r="F13" s="7" t="s">
        <v>76</v>
      </c>
    </row>
    <row r="14" spans="1:6" ht="15" customHeight="1" x14ac:dyDescent="0.35">
      <c r="F14" s="7" t="s">
        <v>77</v>
      </c>
    </row>
    <row r="15" spans="1:6" ht="15" customHeight="1" x14ac:dyDescent="0.35">
      <c r="F15" s="7" t="s">
        <v>78</v>
      </c>
    </row>
    <row r="16" spans="1:6" ht="15" customHeight="1" x14ac:dyDescent="0.35">
      <c r="F16" s="7" t="s">
        <v>79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0"/>
  <sheetViews>
    <sheetView zoomScaleNormal="100" workbookViewId="0">
      <pane ySplit="1" topLeftCell="A2" activePane="bottomLeft" state="frozen"/>
      <selection pane="bottomLeft"/>
    </sheetView>
  </sheetViews>
  <sheetFormatPr defaultColWidth="8.6328125" defaultRowHeight="14.5" x14ac:dyDescent="0.35"/>
  <cols>
    <col min="1" max="1" width="11" style="1" customWidth="1"/>
    <col min="2" max="2" width="22" style="1" customWidth="1"/>
    <col min="3" max="3" width="16" style="1" customWidth="1"/>
    <col min="4" max="4" width="6" style="1" customWidth="1"/>
    <col min="5" max="5" width="14" style="1" customWidth="1"/>
    <col min="6" max="6" width="13" style="1" customWidth="1"/>
    <col min="7" max="7" width="14" style="1" customWidth="1"/>
    <col min="8" max="8" width="12" style="1" customWidth="1"/>
    <col min="9" max="9" width="18" style="1" customWidth="1"/>
    <col min="10" max="13" width="17" style="1" customWidth="1"/>
    <col min="14" max="14" width="13" style="1" customWidth="1"/>
    <col min="15" max="15" width="10" style="1" customWidth="1"/>
  </cols>
  <sheetData>
    <row r="1" spans="1:15" ht="15" customHeight="1" x14ac:dyDescent="0.35">
      <c r="A1" s="6" t="s">
        <v>80</v>
      </c>
      <c r="B1" s="6" t="s">
        <v>81</v>
      </c>
      <c r="C1" s="6" t="s">
        <v>82</v>
      </c>
      <c r="D1" s="6" t="s">
        <v>83</v>
      </c>
      <c r="E1" s="6" t="s">
        <v>84</v>
      </c>
      <c r="F1" s="6" t="s">
        <v>85</v>
      </c>
      <c r="G1" s="6" t="s">
        <v>86</v>
      </c>
      <c r="H1" s="6" t="s">
        <v>87</v>
      </c>
      <c r="I1" s="6" t="s">
        <v>88</v>
      </c>
      <c r="J1" s="6" t="s">
        <v>89</v>
      </c>
      <c r="K1" s="6" t="s">
        <v>90</v>
      </c>
      <c r="L1" s="6" t="s">
        <v>91</v>
      </c>
      <c r="M1" s="6" t="s">
        <v>92</v>
      </c>
      <c r="N1" s="6" t="s">
        <v>93</v>
      </c>
      <c r="O1" s="6" t="s">
        <v>39</v>
      </c>
    </row>
    <row r="2" spans="1:15" ht="15" customHeight="1" x14ac:dyDescent="0.35">
      <c r="A2" s="8" t="s">
        <v>94</v>
      </c>
      <c r="B2" s="8" t="s">
        <v>95</v>
      </c>
      <c r="C2" s="8" t="s">
        <v>48</v>
      </c>
      <c r="D2" s="8" t="s">
        <v>96</v>
      </c>
      <c r="E2" s="8" t="s">
        <v>97</v>
      </c>
      <c r="F2" s="8" t="s">
        <v>43</v>
      </c>
      <c r="G2" s="8" t="s">
        <v>49</v>
      </c>
      <c r="H2" s="9">
        <v>38061</v>
      </c>
      <c r="I2" s="8" t="s">
        <v>98</v>
      </c>
      <c r="J2" s="10">
        <v>15.2</v>
      </c>
      <c r="K2" s="11">
        <v>180</v>
      </c>
      <c r="L2" s="11">
        <v>120</v>
      </c>
      <c r="M2" s="11">
        <v>100</v>
      </c>
      <c r="N2" s="10">
        <v>15.85</v>
      </c>
      <c r="O2" s="8" t="s">
        <v>45</v>
      </c>
    </row>
    <row r="3" spans="1:15" ht="15" customHeight="1" x14ac:dyDescent="0.35">
      <c r="A3" s="8" t="s">
        <v>99</v>
      </c>
      <c r="B3" s="8" t="s">
        <v>100</v>
      </c>
      <c r="C3" s="8" t="s">
        <v>42</v>
      </c>
      <c r="D3" s="8" t="s">
        <v>101</v>
      </c>
      <c r="E3" s="8" t="s">
        <v>102</v>
      </c>
      <c r="F3" s="8" t="s">
        <v>43</v>
      </c>
      <c r="G3" s="8" t="s">
        <v>49</v>
      </c>
      <c r="H3" s="9">
        <v>39996</v>
      </c>
      <c r="I3" s="8" t="s">
        <v>98</v>
      </c>
      <c r="J3" s="10">
        <v>12.1</v>
      </c>
      <c r="K3" s="11">
        <v>90</v>
      </c>
      <c r="L3" s="11">
        <v>55</v>
      </c>
      <c r="M3" s="11">
        <v>60</v>
      </c>
      <c r="N3" s="10">
        <v>12.4</v>
      </c>
      <c r="O3" s="8" t="s">
        <v>45</v>
      </c>
    </row>
    <row r="4" spans="1:15" ht="15" customHeight="1" x14ac:dyDescent="0.35">
      <c r="A4" s="8" t="s">
        <v>103</v>
      </c>
      <c r="B4" s="8" t="s">
        <v>104</v>
      </c>
      <c r="C4" s="8" t="s">
        <v>54</v>
      </c>
      <c r="D4" s="8" t="s">
        <v>96</v>
      </c>
      <c r="E4" s="8" t="s">
        <v>105</v>
      </c>
      <c r="F4" s="8" t="s">
        <v>55</v>
      </c>
      <c r="G4" s="8"/>
      <c r="H4" s="9">
        <v>39604</v>
      </c>
      <c r="I4" s="8" t="s">
        <v>98</v>
      </c>
      <c r="J4" s="10">
        <v>54</v>
      </c>
      <c r="K4" s="11">
        <v>140</v>
      </c>
      <c r="L4" s="11">
        <v>95</v>
      </c>
      <c r="M4" s="11">
        <v>85</v>
      </c>
      <c r="N4" s="10">
        <v>57.2</v>
      </c>
      <c r="O4" s="8" t="s">
        <v>45</v>
      </c>
    </row>
    <row r="5" spans="1:15" ht="15" customHeight="1" x14ac:dyDescent="0.35">
      <c r="A5" s="12"/>
      <c r="B5" s="12"/>
      <c r="C5" s="12"/>
      <c r="D5" s="12"/>
      <c r="E5" s="12"/>
      <c r="F5" s="12"/>
      <c r="G5" s="12"/>
      <c r="H5" s="12"/>
      <c r="I5" s="12"/>
      <c r="J5" s="12"/>
      <c r="K5" s="12"/>
      <c r="L5" s="12"/>
      <c r="M5" s="12"/>
      <c r="N5" s="12"/>
      <c r="O5" s="12"/>
    </row>
    <row r="6" spans="1:15" ht="15" customHeight="1" x14ac:dyDescent="0.35">
      <c r="A6" s="12"/>
      <c r="B6" s="12"/>
      <c r="C6" s="12"/>
      <c r="D6" s="12"/>
      <c r="E6" s="12"/>
      <c r="F6" s="12"/>
      <c r="G6" s="12"/>
      <c r="H6" s="12"/>
      <c r="I6" s="12"/>
      <c r="J6" s="12"/>
      <c r="K6" s="12"/>
      <c r="L6" s="12"/>
      <c r="M6" s="12"/>
      <c r="N6" s="12"/>
      <c r="O6" s="12"/>
    </row>
    <row r="7" spans="1:15" ht="15" customHeight="1" x14ac:dyDescent="0.35">
      <c r="A7" s="12"/>
      <c r="B7" s="12"/>
      <c r="C7" s="12"/>
      <c r="D7" s="12"/>
      <c r="E7" s="12"/>
      <c r="F7" s="12"/>
      <c r="G7" s="12"/>
      <c r="H7" s="12"/>
      <c r="I7" s="12"/>
      <c r="J7" s="12"/>
      <c r="K7" s="12"/>
      <c r="L7" s="12"/>
      <c r="M7" s="12"/>
      <c r="N7" s="12"/>
      <c r="O7" s="12"/>
    </row>
    <row r="8" spans="1:15" ht="15" customHeight="1" x14ac:dyDescent="0.35">
      <c r="A8" s="12"/>
      <c r="B8" s="12"/>
      <c r="C8" s="12"/>
      <c r="D8" s="12"/>
      <c r="E8" s="12"/>
      <c r="F8" s="12"/>
      <c r="G8" s="12"/>
      <c r="H8" s="12"/>
      <c r="I8" s="12"/>
      <c r="J8" s="12"/>
      <c r="K8" s="12"/>
      <c r="L8" s="12"/>
      <c r="M8" s="12"/>
      <c r="N8" s="12"/>
      <c r="O8" s="12"/>
    </row>
    <row r="9" spans="1:15" ht="15" customHeight="1" x14ac:dyDescent="0.35">
      <c r="A9" s="12"/>
      <c r="B9" s="12"/>
      <c r="C9" s="12"/>
      <c r="D9" s="12"/>
      <c r="E9" s="12"/>
      <c r="F9" s="12"/>
      <c r="G9" s="12"/>
      <c r="H9" s="12"/>
      <c r="I9" s="12"/>
      <c r="J9" s="12"/>
      <c r="K9" s="12"/>
      <c r="L9" s="12"/>
      <c r="M9" s="12"/>
      <c r="N9" s="12"/>
      <c r="O9" s="12"/>
    </row>
    <row r="10" spans="1:15" ht="15" customHeight="1" x14ac:dyDescent="0.35">
      <c r="A10" s="12"/>
      <c r="B10" s="12"/>
      <c r="C10" s="12"/>
      <c r="D10" s="12"/>
      <c r="E10" s="12"/>
      <c r="F10" s="12"/>
      <c r="G10" s="12"/>
      <c r="H10" s="12"/>
      <c r="I10" s="12"/>
      <c r="J10" s="12"/>
      <c r="K10" s="12"/>
      <c r="L10" s="12"/>
      <c r="M10" s="12"/>
      <c r="N10" s="12"/>
      <c r="O10" s="12"/>
    </row>
    <row r="11" spans="1:15" ht="15" customHeight="1" x14ac:dyDescent="0.35">
      <c r="A11" s="12"/>
      <c r="B11" s="12"/>
      <c r="C11" s="12"/>
      <c r="D11" s="12"/>
      <c r="E11" s="12"/>
      <c r="F11" s="12"/>
      <c r="G11" s="12"/>
      <c r="H11" s="12"/>
      <c r="I11" s="12"/>
      <c r="J11" s="12"/>
      <c r="K11" s="12"/>
      <c r="L11" s="12"/>
      <c r="M11" s="12"/>
      <c r="N11" s="12"/>
      <c r="O11" s="12"/>
    </row>
    <row r="12" spans="1:15" ht="15" customHeight="1" x14ac:dyDescent="0.35">
      <c r="A12" s="12"/>
      <c r="B12" s="12"/>
      <c r="C12" s="12"/>
      <c r="D12" s="12"/>
      <c r="E12" s="12"/>
      <c r="F12" s="12"/>
      <c r="G12" s="12"/>
      <c r="H12" s="12"/>
      <c r="I12" s="12"/>
      <c r="J12" s="12"/>
      <c r="K12" s="12"/>
      <c r="L12" s="12"/>
      <c r="M12" s="12"/>
      <c r="N12" s="12"/>
      <c r="O12" s="12"/>
    </row>
    <row r="13" spans="1:15" ht="15" customHeight="1" x14ac:dyDescent="0.35">
      <c r="A13" s="12"/>
      <c r="B13" s="12"/>
      <c r="C13" s="12"/>
      <c r="D13" s="12"/>
      <c r="E13" s="12"/>
      <c r="F13" s="12"/>
      <c r="G13" s="12"/>
      <c r="H13" s="12"/>
      <c r="I13" s="12"/>
      <c r="J13" s="12"/>
      <c r="K13" s="12"/>
      <c r="L13" s="12"/>
      <c r="M13" s="12"/>
      <c r="N13" s="12"/>
      <c r="O13" s="12"/>
    </row>
    <row r="14" spans="1:15" ht="15" customHeight="1" x14ac:dyDescent="0.35">
      <c r="A14" s="12"/>
      <c r="B14" s="12"/>
      <c r="C14" s="12"/>
      <c r="D14" s="12"/>
      <c r="E14" s="12"/>
      <c r="F14" s="12"/>
      <c r="G14" s="12"/>
      <c r="H14" s="12"/>
      <c r="I14" s="12"/>
      <c r="J14" s="12"/>
      <c r="K14" s="12"/>
      <c r="L14" s="12"/>
      <c r="M14" s="12"/>
      <c r="N14" s="12"/>
      <c r="O14" s="12"/>
    </row>
    <row r="15" spans="1:15" ht="15" customHeight="1" x14ac:dyDescent="0.35">
      <c r="A15" s="12"/>
      <c r="B15" s="12"/>
      <c r="C15" s="12"/>
      <c r="D15" s="12"/>
      <c r="E15" s="12"/>
      <c r="F15" s="12"/>
      <c r="G15" s="12"/>
      <c r="H15" s="12"/>
      <c r="I15" s="12"/>
      <c r="J15" s="12"/>
      <c r="K15" s="12"/>
      <c r="L15" s="12"/>
      <c r="M15" s="12"/>
      <c r="N15" s="12"/>
      <c r="O15" s="12"/>
    </row>
    <row r="16" spans="1:15" ht="15" customHeight="1" x14ac:dyDescent="0.35">
      <c r="A16" s="12"/>
      <c r="B16" s="12"/>
      <c r="C16" s="12"/>
      <c r="D16" s="12"/>
      <c r="E16" s="12"/>
      <c r="F16" s="12"/>
      <c r="G16" s="12"/>
      <c r="H16" s="12"/>
      <c r="I16" s="12"/>
      <c r="J16" s="12"/>
      <c r="K16" s="12"/>
      <c r="L16" s="12"/>
      <c r="M16" s="12"/>
      <c r="N16" s="12"/>
      <c r="O16" s="12"/>
    </row>
    <row r="17" spans="1:15" ht="15" customHeight="1" x14ac:dyDescent="0.35">
      <c r="A17" s="12"/>
      <c r="B17" s="12"/>
      <c r="C17" s="12"/>
      <c r="D17" s="12"/>
      <c r="E17" s="12"/>
      <c r="F17" s="12"/>
      <c r="G17" s="12"/>
      <c r="H17" s="12"/>
      <c r="I17" s="12"/>
      <c r="J17" s="12"/>
      <c r="K17" s="12"/>
      <c r="L17" s="12"/>
      <c r="M17" s="12"/>
      <c r="N17" s="12"/>
      <c r="O17" s="12"/>
    </row>
    <row r="18" spans="1:15" ht="15" customHeight="1" x14ac:dyDescent="0.35">
      <c r="A18" s="12"/>
      <c r="B18" s="12"/>
      <c r="C18" s="12"/>
      <c r="D18" s="12"/>
      <c r="E18" s="12"/>
      <c r="F18" s="12"/>
      <c r="G18" s="12"/>
      <c r="H18" s="12"/>
      <c r="I18" s="12"/>
      <c r="J18" s="12"/>
      <c r="K18" s="12"/>
      <c r="L18" s="12"/>
      <c r="M18" s="12"/>
      <c r="N18" s="12"/>
      <c r="O18" s="12"/>
    </row>
    <row r="19" spans="1:15" ht="15" customHeight="1" x14ac:dyDescent="0.35">
      <c r="A19" s="12"/>
      <c r="B19" s="12"/>
      <c r="C19" s="12"/>
      <c r="D19" s="12"/>
      <c r="E19" s="12"/>
      <c r="F19" s="12"/>
      <c r="G19" s="12"/>
      <c r="H19" s="12"/>
      <c r="I19" s="12"/>
      <c r="J19" s="12"/>
      <c r="K19" s="12"/>
      <c r="L19" s="12"/>
      <c r="M19" s="12"/>
      <c r="N19" s="12"/>
      <c r="O19" s="12"/>
    </row>
    <row r="20" spans="1:15" ht="15" customHeight="1" x14ac:dyDescent="0.35">
      <c r="A20" s="12"/>
      <c r="B20" s="12"/>
      <c r="C20" s="12"/>
      <c r="D20" s="12"/>
      <c r="E20" s="12"/>
      <c r="F20" s="12"/>
      <c r="G20" s="12"/>
      <c r="H20" s="12"/>
      <c r="I20" s="12"/>
      <c r="J20" s="12"/>
      <c r="K20" s="12"/>
      <c r="L20" s="12"/>
      <c r="M20" s="12"/>
      <c r="N20" s="12"/>
      <c r="O20" s="12"/>
    </row>
    <row r="21" spans="1:15" ht="15" customHeight="1" x14ac:dyDescent="0.35">
      <c r="A21" s="12"/>
      <c r="B21" s="12"/>
      <c r="C21" s="12"/>
      <c r="D21" s="12"/>
      <c r="E21" s="12"/>
      <c r="F21" s="12"/>
      <c r="G21" s="12"/>
      <c r="H21" s="12"/>
      <c r="I21" s="12"/>
      <c r="J21" s="12"/>
      <c r="K21" s="12"/>
      <c r="L21" s="12"/>
      <c r="M21" s="12"/>
      <c r="N21" s="12"/>
      <c r="O21" s="12"/>
    </row>
    <row r="22" spans="1:15" ht="15" customHeight="1" x14ac:dyDescent="0.35">
      <c r="A22" s="12"/>
      <c r="B22" s="12"/>
      <c r="C22" s="12"/>
      <c r="D22" s="12"/>
      <c r="E22" s="12"/>
      <c r="F22" s="12"/>
      <c r="G22" s="12"/>
      <c r="H22" s="12"/>
      <c r="I22" s="12"/>
      <c r="J22" s="12"/>
      <c r="K22" s="12"/>
      <c r="L22" s="12"/>
      <c r="M22" s="12"/>
      <c r="N22" s="12"/>
      <c r="O22" s="12"/>
    </row>
    <row r="23" spans="1:15" ht="15" customHeight="1" x14ac:dyDescent="0.35">
      <c r="A23" s="12"/>
      <c r="B23" s="12"/>
      <c r="C23" s="12"/>
      <c r="D23" s="12"/>
      <c r="E23" s="12"/>
      <c r="F23" s="12"/>
      <c r="G23" s="12"/>
      <c r="H23" s="12"/>
      <c r="I23" s="12"/>
      <c r="J23" s="12"/>
      <c r="K23" s="12"/>
      <c r="L23" s="12"/>
      <c r="M23" s="12"/>
      <c r="N23" s="12"/>
      <c r="O23" s="12"/>
    </row>
    <row r="24" spans="1:15" ht="15" customHeight="1" x14ac:dyDescent="0.35">
      <c r="A24" s="12"/>
      <c r="B24" s="12"/>
      <c r="C24" s="12"/>
      <c r="D24" s="12"/>
      <c r="E24" s="12"/>
      <c r="F24" s="12"/>
      <c r="G24" s="12"/>
      <c r="H24" s="12"/>
      <c r="I24" s="12"/>
      <c r="J24" s="12"/>
      <c r="K24" s="12"/>
      <c r="L24" s="12"/>
      <c r="M24" s="12"/>
      <c r="N24" s="12"/>
      <c r="O24" s="12"/>
    </row>
    <row r="25" spans="1:15" ht="15" customHeight="1" x14ac:dyDescent="0.35">
      <c r="A25" s="12"/>
      <c r="B25" s="12"/>
      <c r="C25" s="12"/>
      <c r="D25" s="12"/>
      <c r="E25" s="12"/>
      <c r="F25" s="12"/>
      <c r="G25" s="12"/>
      <c r="H25" s="12"/>
      <c r="I25" s="12"/>
      <c r="J25" s="12"/>
      <c r="K25" s="12"/>
      <c r="L25" s="12"/>
      <c r="M25" s="12"/>
      <c r="N25" s="12"/>
      <c r="O25" s="12"/>
    </row>
    <row r="26" spans="1:15" ht="15" customHeight="1" x14ac:dyDescent="0.35">
      <c r="A26" s="12"/>
      <c r="B26" s="12"/>
      <c r="C26" s="12"/>
      <c r="D26" s="12"/>
      <c r="E26" s="12"/>
      <c r="F26" s="12"/>
      <c r="G26" s="12"/>
      <c r="H26" s="12"/>
      <c r="I26" s="12"/>
      <c r="J26" s="12"/>
      <c r="K26" s="12"/>
      <c r="L26" s="12"/>
      <c r="M26" s="12"/>
      <c r="N26" s="12"/>
      <c r="O26" s="12"/>
    </row>
    <row r="27" spans="1:15" ht="15" customHeight="1" x14ac:dyDescent="0.35">
      <c r="A27" s="12"/>
      <c r="B27" s="12"/>
      <c r="C27" s="12"/>
      <c r="D27" s="12"/>
      <c r="E27" s="12"/>
      <c r="F27" s="12"/>
      <c r="G27" s="12"/>
      <c r="H27" s="12"/>
      <c r="I27" s="12"/>
      <c r="J27" s="12"/>
      <c r="K27" s="12"/>
      <c r="L27" s="12"/>
      <c r="M27" s="12"/>
      <c r="N27" s="12"/>
      <c r="O27" s="12"/>
    </row>
    <row r="28" spans="1:15" ht="15" customHeight="1" x14ac:dyDescent="0.35">
      <c r="A28" s="12"/>
      <c r="B28" s="12"/>
      <c r="C28" s="12"/>
      <c r="D28" s="12"/>
      <c r="E28" s="12"/>
      <c r="F28" s="12"/>
      <c r="G28" s="12"/>
      <c r="H28" s="12"/>
      <c r="I28" s="12"/>
      <c r="J28" s="12"/>
      <c r="K28" s="12"/>
      <c r="L28" s="12"/>
      <c r="M28" s="12"/>
      <c r="N28" s="12"/>
      <c r="O28" s="12"/>
    </row>
    <row r="29" spans="1:15" ht="15" customHeight="1" x14ac:dyDescent="0.35">
      <c r="A29" s="12"/>
      <c r="B29" s="12"/>
      <c r="C29" s="12"/>
      <c r="D29" s="12"/>
      <c r="E29" s="12"/>
      <c r="F29" s="12"/>
      <c r="G29" s="12"/>
      <c r="H29" s="12"/>
      <c r="I29" s="12"/>
      <c r="J29" s="12"/>
      <c r="K29" s="12"/>
      <c r="L29" s="12"/>
      <c r="M29" s="12"/>
      <c r="N29" s="12"/>
      <c r="O29" s="12"/>
    </row>
    <row r="30" spans="1:15" ht="15" customHeight="1" x14ac:dyDescent="0.35">
      <c r="A30" s="12"/>
      <c r="B30" s="12"/>
      <c r="C30" s="12"/>
      <c r="D30" s="12"/>
      <c r="E30" s="12"/>
      <c r="F30" s="12"/>
      <c r="G30" s="12"/>
      <c r="H30" s="12"/>
      <c r="I30" s="12"/>
      <c r="J30" s="12"/>
      <c r="K30" s="12"/>
      <c r="L30" s="12"/>
      <c r="M30" s="12"/>
      <c r="N30" s="12"/>
      <c r="O30" s="12"/>
    </row>
    <row r="31" spans="1:15" ht="15" customHeight="1" x14ac:dyDescent="0.35">
      <c r="A31" s="12"/>
      <c r="B31" s="12"/>
      <c r="C31" s="12"/>
      <c r="D31" s="12"/>
      <c r="E31" s="12"/>
      <c r="F31" s="12"/>
      <c r="G31" s="12"/>
      <c r="H31" s="12"/>
      <c r="I31" s="12"/>
      <c r="J31" s="12"/>
      <c r="K31" s="12"/>
      <c r="L31" s="12"/>
      <c r="M31" s="12"/>
      <c r="N31" s="12"/>
      <c r="O31" s="12"/>
    </row>
    <row r="32" spans="1:15" ht="15" customHeight="1" x14ac:dyDescent="0.35">
      <c r="A32" s="12"/>
      <c r="B32" s="12"/>
      <c r="C32" s="12"/>
      <c r="D32" s="12"/>
      <c r="E32" s="12"/>
      <c r="F32" s="12"/>
      <c r="G32" s="12"/>
      <c r="H32" s="12"/>
      <c r="I32" s="12"/>
      <c r="J32" s="12"/>
      <c r="K32" s="12"/>
      <c r="L32" s="12"/>
      <c r="M32" s="12"/>
      <c r="N32" s="12"/>
      <c r="O32" s="12"/>
    </row>
    <row r="33" spans="1:15" ht="15" customHeight="1" x14ac:dyDescent="0.35">
      <c r="A33" s="12"/>
      <c r="B33" s="12"/>
      <c r="C33" s="12"/>
      <c r="D33" s="12"/>
      <c r="E33" s="12"/>
      <c r="F33" s="12"/>
      <c r="G33" s="12"/>
      <c r="H33" s="12"/>
      <c r="I33" s="12"/>
      <c r="J33" s="12"/>
      <c r="K33" s="12"/>
      <c r="L33" s="12"/>
      <c r="M33" s="12"/>
      <c r="N33" s="12"/>
      <c r="O33" s="12"/>
    </row>
    <row r="34" spans="1:15" ht="15" customHeight="1" x14ac:dyDescent="0.35">
      <c r="A34" s="12"/>
      <c r="B34" s="12"/>
      <c r="C34" s="12"/>
      <c r="D34" s="12"/>
      <c r="E34" s="12"/>
      <c r="F34" s="12"/>
      <c r="G34" s="12"/>
      <c r="H34" s="12"/>
      <c r="I34" s="12"/>
      <c r="J34" s="12"/>
      <c r="K34" s="12"/>
      <c r="L34" s="12"/>
      <c r="M34" s="12"/>
      <c r="N34" s="12"/>
      <c r="O34" s="12"/>
    </row>
    <row r="35" spans="1:15" ht="15" customHeight="1" x14ac:dyDescent="0.35">
      <c r="A35" s="12"/>
      <c r="B35" s="12"/>
      <c r="C35" s="12"/>
      <c r="D35" s="12"/>
      <c r="E35" s="12"/>
      <c r="F35" s="12"/>
      <c r="G35" s="12"/>
      <c r="H35" s="12"/>
      <c r="I35" s="12"/>
      <c r="J35" s="12"/>
      <c r="K35" s="12"/>
      <c r="L35" s="12"/>
      <c r="M35" s="12"/>
      <c r="N35" s="12"/>
      <c r="O35" s="12"/>
    </row>
    <row r="36" spans="1:15" ht="15" customHeight="1" x14ac:dyDescent="0.35">
      <c r="A36" s="12"/>
      <c r="B36" s="12"/>
      <c r="C36" s="12"/>
      <c r="D36" s="12"/>
      <c r="E36" s="12"/>
      <c r="F36" s="12"/>
      <c r="G36" s="12"/>
      <c r="H36" s="12"/>
      <c r="I36" s="12"/>
      <c r="J36" s="12"/>
      <c r="K36" s="12"/>
      <c r="L36" s="12"/>
      <c r="M36" s="12"/>
      <c r="N36" s="12"/>
      <c r="O36" s="12"/>
    </row>
    <row r="37" spans="1:15" ht="15" customHeight="1" x14ac:dyDescent="0.35">
      <c r="A37" s="12"/>
      <c r="B37" s="12"/>
      <c r="C37" s="12"/>
      <c r="D37" s="12"/>
      <c r="E37" s="12"/>
      <c r="F37" s="12"/>
      <c r="G37" s="12"/>
      <c r="H37" s="12"/>
      <c r="I37" s="12"/>
      <c r="J37" s="12"/>
      <c r="K37" s="12"/>
      <c r="L37" s="12"/>
      <c r="M37" s="12"/>
      <c r="N37" s="12"/>
      <c r="O37" s="12"/>
    </row>
    <row r="38" spans="1:15" ht="15" customHeight="1" x14ac:dyDescent="0.35">
      <c r="A38" s="12"/>
      <c r="B38" s="12"/>
      <c r="C38" s="12"/>
      <c r="D38" s="12"/>
      <c r="E38" s="12"/>
      <c r="F38" s="12"/>
      <c r="G38" s="12"/>
      <c r="H38" s="12"/>
      <c r="I38" s="12"/>
      <c r="J38" s="12"/>
      <c r="K38" s="12"/>
      <c r="L38" s="12"/>
      <c r="M38" s="12"/>
      <c r="N38" s="12"/>
      <c r="O38" s="12"/>
    </row>
    <row r="39" spans="1:15" ht="15" customHeight="1" x14ac:dyDescent="0.35">
      <c r="A39" s="12"/>
      <c r="B39" s="12"/>
      <c r="C39" s="12"/>
      <c r="D39" s="12"/>
      <c r="E39" s="12"/>
      <c r="F39" s="12"/>
      <c r="G39" s="12"/>
      <c r="H39" s="12"/>
      <c r="I39" s="12"/>
      <c r="J39" s="12"/>
      <c r="K39" s="12"/>
      <c r="L39" s="12"/>
      <c r="M39" s="12"/>
      <c r="N39" s="12"/>
      <c r="O39" s="12"/>
    </row>
    <row r="40" spans="1:15" ht="15" customHeight="1" x14ac:dyDescent="0.35">
      <c r="A40" s="12"/>
      <c r="B40" s="12"/>
      <c r="C40" s="12"/>
      <c r="D40" s="12"/>
      <c r="E40" s="12"/>
      <c r="F40" s="12"/>
      <c r="G40" s="12"/>
      <c r="H40" s="12"/>
      <c r="I40" s="12"/>
      <c r="J40" s="12"/>
      <c r="K40" s="12"/>
      <c r="L40" s="12"/>
      <c r="M40" s="12"/>
      <c r="N40" s="12"/>
      <c r="O40" s="12"/>
    </row>
  </sheetData>
  <dataValidations count="3">
    <dataValidation type="list" allowBlank="1" sqref="C2:C40" xr:uid="{00000000-0002-0000-0200-000000000000}">
      <formula1>TeamsList</formula1>
      <formula2>0</formula2>
    </dataValidation>
    <dataValidation type="list" allowBlank="1" sqref="F2:G40" xr:uid="{00000000-0002-0000-0200-000001000000}">
      <formula1>EventsList</formula1>
      <formula2>0</formula2>
    </dataValidation>
    <dataValidation type="list" allowBlank="1" sqref="O2:O40" xr:uid="{00000000-0002-0000-0200-000002000000}">
      <formula1>StatusList</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5"/>
  <sheetViews>
    <sheetView zoomScaleNormal="100" workbookViewId="0">
      <pane ySplit="3" topLeftCell="A29" activePane="bottomLeft" state="frozen"/>
      <selection pane="bottomLeft" activeCell="D11" sqref="D11"/>
    </sheetView>
  </sheetViews>
  <sheetFormatPr defaultColWidth="8.6328125" defaultRowHeight="14.5" x14ac:dyDescent="0.35"/>
  <cols>
    <col min="1" max="1" width="8" style="1" customWidth="1"/>
    <col min="2" max="2" width="15" style="1" customWidth="1"/>
    <col min="3" max="3" width="26" style="1" customWidth="1"/>
    <col min="4" max="4" width="46" style="1" customWidth="1"/>
    <col min="5" max="5" width="14" style="1" customWidth="1"/>
    <col min="6" max="7" width="12" style="1" customWidth="1"/>
    <col min="8" max="8" width="10" style="1" customWidth="1"/>
    <col min="9" max="10" width="30" style="1" customWidth="1"/>
  </cols>
  <sheetData>
    <row r="1" spans="1:10" ht="15" customHeight="1" x14ac:dyDescent="0.35">
      <c r="A1" s="13" t="s">
        <v>106</v>
      </c>
      <c r="C1" s="14">
        <v>46272</v>
      </c>
      <c r="E1" s="15" t="s">
        <v>107</v>
      </c>
    </row>
    <row r="3" spans="1:10" ht="15" customHeight="1" x14ac:dyDescent="0.35">
      <c r="A3" s="6" t="s">
        <v>108</v>
      </c>
      <c r="B3" s="6" t="s">
        <v>109</v>
      </c>
      <c r="C3" s="6" t="s">
        <v>110</v>
      </c>
      <c r="D3" s="6" t="s">
        <v>111</v>
      </c>
      <c r="E3" s="6" t="s">
        <v>112</v>
      </c>
      <c r="F3" s="6" t="s">
        <v>113</v>
      </c>
      <c r="G3" s="6" t="s">
        <v>114</v>
      </c>
      <c r="H3" s="6" t="s">
        <v>115</v>
      </c>
      <c r="I3" s="6" t="s">
        <v>116</v>
      </c>
      <c r="J3" s="6" t="s">
        <v>117</v>
      </c>
    </row>
    <row r="4" spans="1:10" ht="27.75" customHeight="1" x14ac:dyDescent="0.35">
      <c r="A4" s="16">
        <v>1</v>
      </c>
      <c r="B4" s="17">
        <f>$C$1+(1-1)*7</f>
        <v>46272</v>
      </c>
      <c r="C4" s="16" t="s">
        <v>46</v>
      </c>
      <c r="D4" s="18" t="s">
        <v>118</v>
      </c>
      <c r="E4" s="16">
        <v>3</v>
      </c>
      <c r="F4" s="16">
        <v>4</v>
      </c>
      <c r="G4" s="16" t="s">
        <v>119</v>
      </c>
      <c r="H4" s="16" t="s">
        <v>120</v>
      </c>
      <c r="I4" s="16"/>
      <c r="J4" s="16"/>
    </row>
    <row r="5" spans="1:10" ht="27.75" customHeight="1" x14ac:dyDescent="0.35">
      <c r="A5" s="16">
        <v>2</v>
      </c>
      <c r="B5" s="17">
        <f>$C$1+(2-1)*7</f>
        <v>46279</v>
      </c>
      <c r="C5" s="16" t="s">
        <v>46</v>
      </c>
      <c r="D5" s="18" t="s">
        <v>118</v>
      </c>
      <c r="E5" s="16">
        <v>3</v>
      </c>
      <c r="F5" s="16">
        <v>4</v>
      </c>
      <c r="G5" s="16" t="s">
        <v>119</v>
      </c>
      <c r="H5" s="16" t="s">
        <v>120</v>
      </c>
      <c r="I5" s="16"/>
      <c r="J5" s="16"/>
    </row>
    <row r="6" spans="1:10" ht="27.75" customHeight="1" x14ac:dyDescent="0.35">
      <c r="A6" s="16">
        <v>3</v>
      </c>
      <c r="B6" s="17">
        <f>$C$1+(3-1)*7</f>
        <v>46286</v>
      </c>
      <c r="C6" s="16" t="s">
        <v>46</v>
      </c>
      <c r="D6" s="18" t="s">
        <v>118</v>
      </c>
      <c r="E6" s="16">
        <v>3</v>
      </c>
      <c r="F6" s="16">
        <v>4</v>
      </c>
      <c r="G6" s="16" t="s">
        <v>119</v>
      </c>
      <c r="H6" s="16" t="s">
        <v>120</v>
      </c>
      <c r="I6" s="16"/>
      <c r="J6" s="16"/>
    </row>
    <row r="7" spans="1:10" ht="27.75" customHeight="1" x14ac:dyDescent="0.35">
      <c r="A7" s="16">
        <v>4</v>
      </c>
      <c r="B7" s="17">
        <f>$C$1+(4-1)*7</f>
        <v>46293</v>
      </c>
      <c r="C7" s="16" t="s">
        <v>46</v>
      </c>
      <c r="D7" s="18" t="s">
        <v>118</v>
      </c>
      <c r="E7" s="16">
        <v>3</v>
      </c>
      <c r="F7" s="16">
        <v>4</v>
      </c>
      <c r="G7" s="16" t="s">
        <v>119</v>
      </c>
      <c r="H7" s="16" t="s">
        <v>120</v>
      </c>
      <c r="I7" s="16"/>
      <c r="J7" s="16"/>
    </row>
    <row r="8" spans="1:10" ht="27.75" customHeight="1" x14ac:dyDescent="0.35">
      <c r="A8" s="16">
        <v>5</v>
      </c>
      <c r="B8" s="17">
        <f>$C$1+(5-1)*7</f>
        <v>46300</v>
      </c>
      <c r="C8" s="16" t="s">
        <v>46</v>
      </c>
      <c r="D8" s="18" t="s">
        <v>118</v>
      </c>
      <c r="E8" s="16">
        <v>3</v>
      </c>
      <c r="F8" s="16">
        <v>4</v>
      </c>
      <c r="G8" s="16" t="s">
        <v>119</v>
      </c>
      <c r="H8" s="16" t="s">
        <v>120</v>
      </c>
      <c r="I8" s="16"/>
      <c r="J8" s="16"/>
    </row>
    <row r="9" spans="1:10" ht="27.75" customHeight="1" x14ac:dyDescent="0.35">
      <c r="A9" s="16">
        <v>6</v>
      </c>
      <c r="B9" s="17">
        <f>$C$1+(6-1)*7</f>
        <v>46307</v>
      </c>
      <c r="C9" s="16" t="s">
        <v>46</v>
      </c>
      <c r="D9" s="18" t="s">
        <v>118</v>
      </c>
      <c r="E9" s="16">
        <v>3</v>
      </c>
      <c r="F9" s="16">
        <v>4</v>
      </c>
      <c r="G9" s="16" t="s">
        <v>119</v>
      </c>
      <c r="H9" s="16" t="s">
        <v>120</v>
      </c>
      <c r="I9" s="16"/>
      <c r="J9" s="16"/>
    </row>
    <row r="10" spans="1:10" ht="27.75" customHeight="1" x14ac:dyDescent="0.35">
      <c r="A10" s="16">
        <v>7</v>
      </c>
      <c r="B10" s="17">
        <f>$C$1+(7-1)*7</f>
        <v>46314</v>
      </c>
      <c r="C10" s="16" t="s">
        <v>46</v>
      </c>
      <c r="D10" s="18" t="s">
        <v>118</v>
      </c>
      <c r="E10" s="16">
        <v>3</v>
      </c>
      <c r="F10" s="16">
        <v>4</v>
      </c>
      <c r="G10" s="16" t="s">
        <v>119</v>
      </c>
      <c r="H10" s="16" t="s">
        <v>120</v>
      </c>
      <c r="I10" s="16"/>
      <c r="J10" s="16"/>
    </row>
    <row r="11" spans="1:10" ht="27.75" customHeight="1" x14ac:dyDescent="0.35">
      <c r="A11" s="16">
        <v>8</v>
      </c>
      <c r="B11" s="17">
        <f>$C$1+(8-1)*7</f>
        <v>46321</v>
      </c>
      <c r="C11" s="16" t="s">
        <v>46</v>
      </c>
      <c r="D11" s="18" t="s">
        <v>118</v>
      </c>
      <c r="E11" s="16">
        <v>3</v>
      </c>
      <c r="F11" s="16">
        <v>4</v>
      </c>
      <c r="G11" s="16" t="s">
        <v>119</v>
      </c>
      <c r="H11" s="16" t="s">
        <v>120</v>
      </c>
      <c r="I11" s="16"/>
      <c r="J11" s="16"/>
    </row>
    <row r="12" spans="1:10" ht="41.25" customHeight="1" x14ac:dyDescent="0.35">
      <c r="A12" s="16">
        <v>9</v>
      </c>
      <c r="B12" s="17">
        <f>$C$1+(9-1)*7</f>
        <v>46328</v>
      </c>
      <c r="C12" s="16" t="s">
        <v>52</v>
      </c>
      <c r="D12" s="18" t="s">
        <v>121</v>
      </c>
      <c r="E12" s="16">
        <v>4</v>
      </c>
      <c r="F12" s="16">
        <v>4</v>
      </c>
      <c r="G12" s="16" t="s">
        <v>122</v>
      </c>
      <c r="H12" s="16" t="s">
        <v>120</v>
      </c>
      <c r="I12" s="16"/>
      <c r="J12" s="16"/>
    </row>
    <row r="13" spans="1:10" ht="41.25" customHeight="1" x14ac:dyDescent="0.35">
      <c r="A13" s="16">
        <v>10</v>
      </c>
      <c r="B13" s="17">
        <f>$C$1+(10-1)*7</f>
        <v>46335</v>
      </c>
      <c r="C13" s="16" t="s">
        <v>52</v>
      </c>
      <c r="D13" s="18" t="s">
        <v>121</v>
      </c>
      <c r="E13" s="16">
        <v>4</v>
      </c>
      <c r="F13" s="16">
        <v>4</v>
      </c>
      <c r="G13" s="16" t="s">
        <v>122</v>
      </c>
      <c r="H13" s="16" t="s">
        <v>120</v>
      </c>
      <c r="I13" s="16"/>
      <c r="J13" s="16"/>
    </row>
    <row r="14" spans="1:10" ht="41.25" customHeight="1" x14ac:dyDescent="0.35">
      <c r="A14" s="16">
        <v>11</v>
      </c>
      <c r="B14" s="17">
        <f>$C$1+(11-1)*7</f>
        <v>46342</v>
      </c>
      <c r="C14" s="16" t="s">
        <v>52</v>
      </c>
      <c r="D14" s="18" t="s">
        <v>121</v>
      </c>
      <c r="E14" s="16">
        <v>4</v>
      </c>
      <c r="F14" s="16">
        <v>4</v>
      </c>
      <c r="G14" s="16" t="s">
        <v>122</v>
      </c>
      <c r="H14" s="16" t="s">
        <v>120</v>
      </c>
      <c r="I14" s="16"/>
      <c r="J14" s="16"/>
    </row>
    <row r="15" spans="1:10" ht="41.25" customHeight="1" x14ac:dyDescent="0.35">
      <c r="A15" s="16">
        <v>12</v>
      </c>
      <c r="B15" s="17">
        <f>$C$1+(12-1)*7</f>
        <v>46349</v>
      </c>
      <c r="C15" s="16" t="s">
        <v>52</v>
      </c>
      <c r="D15" s="18" t="s">
        <v>121</v>
      </c>
      <c r="E15" s="16">
        <v>4</v>
      </c>
      <c r="F15" s="16">
        <v>4</v>
      </c>
      <c r="G15" s="16" t="s">
        <v>122</v>
      </c>
      <c r="H15" s="16" t="s">
        <v>120</v>
      </c>
      <c r="I15" s="16"/>
      <c r="J15" s="16"/>
    </row>
    <row r="16" spans="1:10" ht="41.25" customHeight="1" x14ac:dyDescent="0.35">
      <c r="A16" s="16">
        <v>13</v>
      </c>
      <c r="B16" s="17">
        <f>$C$1+(13-1)*7</f>
        <v>46356</v>
      </c>
      <c r="C16" s="16" t="s">
        <v>52</v>
      </c>
      <c r="D16" s="18" t="s">
        <v>121</v>
      </c>
      <c r="E16" s="16">
        <v>4</v>
      </c>
      <c r="F16" s="16">
        <v>4</v>
      </c>
      <c r="G16" s="16" t="s">
        <v>122</v>
      </c>
      <c r="H16" s="16" t="s">
        <v>120</v>
      </c>
      <c r="I16" s="16"/>
      <c r="J16" s="16"/>
    </row>
    <row r="17" spans="1:10" ht="41.25" customHeight="1" x14ac:dyDescent="0.35">
      <c r="A17" s="16">
        <v>14</v>
      </c>
      <c r="B17" s="17">
        <f>$C$1+(14-1)*7</f>
        <v>46363</v>
      </c>
      <c r="C17" s="16" t="s">
        <v>52</v>
      </c>
      <c r="D17" s="18" t="s">
        <v>121</v>
      </c>
      <c r="E17" s="16">
        <v>4</v>
      </c>
      <c r="F17" s="16">
        <v>4</v>
      </c>
      <c r="G17" s="16" t="s">
        <v>122</v>
      </c>
      <c r="H17" s="16" t="s">
        <v>120</v>
      </c>
      <c r="I17" s="16"/>
      <c r="J17" s="16"/>
    </row>
    <row r="18" spans="1:10" ht="41.25" customHeight="1" x14ac:dyDescent="0.35">
      <c r="A18" s="16">
        <v>15</v>
      </c>
      <c r="B18" s="17">
        <f>$C$1+(15-1)*7</f>
        <v>46370</v>
      </c>
      <c r="C18" s="16" t="s">
        <v>57</v>
      </c>
      <c r="D18" s="18" t="s">
        <v>123</v>
      </c>
      <c r="E18" s="16">
        <v>4</v>
      </c>
      <c r="F18" s="16">
        <v>3</v>
      </c>
      <c r="G18" s="16" t="s">
        <v>124</v>
      </c>
      <c r="H18" s="16" t="s">
        <v>122</v>
      </c>
      <c r="I18" s="16"/>
      <c r="J18" s="16"/>
    </row>
    <row r="19" spans="1:10" ht="41.25" customHeight="1" x14ac:dyDescent="0.35">
      <c r="A19" s="16">
        <v>16</v>
      </c>
      <c r="B19" s="17">
        <f>$C$1+(16-1)*7</f>
        <v>46377</v>
      </c>
      <c r="C19" s="16" t="s">
        <v>57</v>
      </c>
      <c r="D19" s="18" t="s">
        <v>123</v>
      </c>
      <c r="E19" s="16">
        <v>4</v>
      </c>
      <c r="F19" s="16">
        <v>3</v>
      </c>
      <c r="G19" s="16" t="s">
        <v>124</v>
      </c>
      <c r="H19" s="16" t="s">
        <v>122</v>
      </c>
      <c r="I19" s="16"/>
      <c r="J19" s="16"/>
    </row>
    <row r="20" spans="1:10" ht="41.25" customHeight="1" x14ac:dyDescent="0.35">
      <c r="A20" s="16">
        <v>17</v>
      </c>
      <c r="B20" s="17">
        <f>$C$1+(17-1)*7</f>
        <v>46384</v>
      </c>
      <c r="C20" s="16" t="s">
        <v>57</v>
      </c>
      <c r="D20" s="18" t="s">
        <v>123</v>
      </c>
      <c r="E20" s="16">
        <v>4</v>
      </c>
      <c r="F20" s="16">
        <v>3</v>
      </c>
      <c r="G20" s="16" t="s">
        <v>124</v>
      </c>
      <c r="H20" s="16" t="s">
        <v>122</v>
      </c>
      <c r="I20" s="16"/>
      <c r="J20" s="16"/>
    </row>
    <row r="21" spans="1:10" ht="41.25" customHeight="1" x14ac:dyDescent="0.35">
      <c r="A21" s="16">
        <v>18</v>
      </c>
      <c r="B21" s="17">
        <f>$C$1+(18-1)*7</f>
        <v>46391</v>
      </c>
      <c r="C21" s="16" t="s">
        <v>57</v>
      </c>
      <c r="D21" s="18" t="s">
        <v>123</v>
      </c>
      <c r="E21" s="16">
        <v>4</v>
      </c>
      <c r="F21" s="16">
        <v>3</v>
      </c>
      <c r="G21" s="16" t="s">
        <v>124</v>
      </c>
      <c r="H21" s="16" t="s">
        <v>122</v>
      </c>
      <c r="I21" s="19" t="s">
        <v>125</v>
      </c>
      <c r="J21" s="16"/>
    </row>
    <row r="22" spans="1:10" ht="27.75" customHeight="1" x14ac:dyDescent="0.35">
      <c r="A22" s="16">
        <v>19</v>
      </c>
      <c r="B22" s="17">
        <f>$C$1+(19-1)*7</f>
        <v>46398</v>
      </c>
      <c r="C22" s="16" t="s">
        <v>61</v>
      </c>
      <c r="D22" s="18" t="s">
        <v>126</v>
      </c>
      <c r="E22" s="16">
        <v>3</v>
      </c>
      <c r="F22" s="16">
        <v>2</v>
      </c>
      <c r="G22" s="16" t="s">
        <v>120</v>
      </c>
      <c r="H22" s="16" t="s">
        <v>119</v>
      </c>
      <c r="I22" s="16"/>
      <c r="J22" s="16"/>
    </row>
    <row r="23" spans="1:10" ht="27.75" customHeight="1" x14ac:dyDescent="0.35">
      <c r="A23" s="16">
        <v>20</v>
      </c>
      <c r="B23" s="17">
        <f>$C$1+(20-1)*7</f>
        <v>46405</v>
      </c>
      <c r="C23" s="16" t="s">
        <v>61</v>
      </c>
      <c r="D23" s="18" t="s">
        <v>126</v>
      </c>
      <c r="E23" s="16">
        <v>3</v>
      </c>
      <c r="F23" s="16">
        <v>2</v>
      </c>
      <c r="G23" s="16" t="s">
        <v>120</v>
      </c>
      <c r="H23" s="16" t="s">
        <v>119</v>
      </c>
      <c r="I23" s="19" t="s">
        <v>127</v>
      </c>
      <c r="J23" s="16"/>
    </row>
    <row r="24" spans="1:10" ht="27.75" customHeight="1" x14ac:dyDescent="0.35">
      <c r="A24" s="16">
        <v>21</v>
      </c>
      <c r="B24" s="17">
        <f>$C$1+(21-1)*7</f>
        <v>46412</v>
      </c>
      <c r="C24" s="16" t="s">
        <v>61</v>
      </c>
      <c r="D24" s="18" t="s">
        <v>126</v>
      </c>
      <c r="E24" s="16">
        <v>3</v>
      </c>
      <c r="F24" s="16">
        <v>2</v>
      </c>
      <c r="G24" s="16" t="s">
        <v>120</v>
      </c>
      <c r="H24" s="16" t="s">
        <v>119</v>
      </c>
      <c r="I24" s="16"/>
      <c r="J24" s="16"/>
    </row>
    <row r="25" spans="1:10" ht="27.75" customHeight="1" x14ac:dyDescent="0.35">
      <c r="A25" s="16">
        <v>22</v>
      </c>
      <c r="B25" s="17">
        <f>$C$1+(22-1)*7</f>
        <v>46419</v>
      </c>
      <c r="C25" s="16" t="s">
        <v>61</v>
      </c>
      <c r="D25" s="18" t="s">
        <v>126</v>
      </c>
      <c r="E25" s="16">
        <v>3</v>
      </c>
      <c r="F25" s="16">
        <v>2</v>
      </c>
      <c r="G25" s="16" t="s">
        <v>120</v>
      </c>
      <c r="H25" s="16" t="s">
        <v>119</v>
      </c>
      <c r="I25" s="16"/>
      <c r="J25" s="16"/>
    </row>
    <row r="26" spans="1:10" ht="27.75" customHeight="1" x14ac:dyDescent="0.35">
      <c r="A26" s="16">
        <v>23</v>
      </c>
      <c r="B26" s="17">
        <f>$C$1+(23-1)*7</f>
        <v>46426</v>
      </c>
      <c r="C26" s="16" t="s">
        <v>61</v>
      </c>
      <c r="D26" s="18" t="s">
        <v>126</v>
      </c>
      <c r="E26" s="16">
        <v>3</v>
      </c>
      <c r="F26" s="16">
        <v>2</v>
      </c>
      <c r="G26" s="16" t="s">
        <v>120</v>
      </c>
      <c r="H26" s="16" t="s">
        <v>119</v>
      </c>
      <c r="I26" s="19" t="s">
        <v>128</v>
      </c>
      <c r="J26" s="16"/>
    </row>
    <row r="27" spans="1:10" ht="27.75" customHeight="1" x14ac:dyDescent="0.35">
      <c r="A27" s="16">
        <v>24</v>
      </c>
      <c r="B27" s="17">
        <f>$C$1+(24-1)*7</f>
        <v>46433</v>
      </c>
      <c r="C27" s="16" t="s">
        <v>61</v>
      </c>
      <c r="D27" s="18" t="s">
        <v>126</v>
      </c>
      <c r="E27" s="16">
        <v>3</v>
      </c>
      <c r="F27" s="16">
        <v>2</v>
      </c>
      <c r="G27" s="16" t="s">
        <v>120</v>
      </c>
      <c r="H27" s="16" t="s">
        <v>119</v>
      </c>
      <c r="I27" s="16"/>
      <c r="J27" s="16"/>
    </row>
    <row r="28" spans="1:10" ht="27.75" customHeight="1" x14ac:dyDescent="0.35">
      <c r="A28" s="16">
        <v>25</v>
      </c>
      <c r="B28" s="17">
        <f>$C$1+(25-1)*7</f>
        <v>46440</v>
      </c>
      <c r="C28" s="16" t="s">
        <v>61</v>
      </c>
      <c r="D28" s="18" t="s">
        <v>126</v>
      </c>
      <c r="E28" s="16">
        <v>3</v>
      </c>
      <c r="F28" s="16">
        <v>2</v>
      </c>
      <c r="G28" s="16" t="s">
        <v>120</v>
      </c>
      <c r="H28" s="16" t="s">
        <v>119</v>
      </c>
      <c r="I28" s="16"/>
      <c r="J28" s="16"/>
    </row>
    <row r="29" spans="1:10" ht="27.75" customHeight="1" x14ac:dyDescent="0.35">
      <c r="A29" s="16">
        <v>26</v>
      </c>
      <c r="B29" s="17">
        <f>$C$1+(26-1)*7</f>
        <v>46447</v>
      </c>
      <c r="C29" s="16" t="s">
        <v>61</v>
      </c>
      <c r="D29" s="18" t="s">
        <v>126</v>
      </c>
      <c r="E29" s="16">
        <v>3</v>
      </c>
      <c r="F29" s="16">
        <v>2</v>
      </c>
      <c r="G29" s="16" t="s">
        <v>120</v>
      </c>
      <c r="H29" s="16" t="s">
        <v>119</v>
      </c>
      <c r="I29" s="19" t="s">
        <v>129</v>
      </c>
      <c r="J29" s="16"/>
    </row>
    <row r="30" spans="1:10" ht="27.75" customHeight="1" x14ac:dyDescent="0.35">
      <c r="A30" s="16">
        <v>27</v>
      </c>
      <c r="B30" s="17">
        <f>$C$1+(27-1)*7</f>
        <v>46454</v>
      </c>
      <c r="C30" s="16" t="s">
        <v>61</v>
      </c>
      <c r="D30" s="18" t="s">
        <v>126</v>
      </c>
      <c r="E30" s="16">
        <v>3</v>
      </c>
      <c r="F30" s="16">
        <v>2</v>
      </c>
      <c r="G30" s="16" t="s">
        <v>120</v>
      </c>
      <c r="H30" s="16" t="s">
        <v>119</v>
      </c>
      <c r="I30" s="16"/>
      <c r="J30" s="16"/>
    </row>
    <row r="31" spans="1:10" ht="27.75" customHeight="1" x14ac:dyDescent="0.35">
      <c r="A31" s="16">
        <v>28</v>
      </c>
      <c r="B31" s="17">
        <f>$C$1+(28-1)*7</f>
        <v>46461</v>
      </c>
      <c r="C31" s="16" t="s">
        <v>61</v>
      </c>
      <c r="D31" s="18" t="s">
        <v>126</v>
      </c>
      <c r="E31" s="16">
        <v>3</v>
      </c>
      <c r="F31" s="16">
        <v>2</v>
      </c>
      <c r="G31" s="16" t="s">
        <v>120</v>
      </c>
      <c r="H31" s="16" t="s">
        <v>119</v>
      </c>
      <c r="I31" s="16"/>
      <c r="J31" s="16"/>
    </row>
    <row r="32" spans="1:10" ht="27.75" customHeight="1" x14ac:dyDescent="0.35">
      <c r="A32" s="16">
        <v>29</v>
      </c>
      <c r="B32" s="17">
        <f>$C$1+(29-1)*7</f>
        <v>46468</v>
      </c>
      <c r="C32" s="16" t="s">
        <v>61</v>
      </c>
      <c r="D32" s="18" t="s">
        <v>126</v>
      </c>
      <c r="E32" s="16">
        <v>3</v>
      </c>
      <c r="F32" s="16">
        <v>2</v>
      </c>
      <c r="G32" s="16" t="s">
        <v>120</v>
      </c>
      <c r="H32" s="16" t="s">
        <v>119</v>
      </c>
      <c r="I32" s="16"/>
      <c r="J32" s="16"/>
    </row>
    <row r="33" spans="1:10" ht="27.75" customHeight="1" x14ac:dyDescent="0.35">
      <c r="A33" s="16">
        <v>30</v>
      </c>
      <c r="B33" s="17">
        <f>$C$1+(30-1)*7</f>
        <v>46475</v>
      </c>
      <c r="C33" s="16" t="s">
        <v>61</v>
      </c>
      <c r="D33" s="18" t="s">
        <v>126</v>
      </c>
      <c r="E33" s="16">
        <v>3</v>
      </c>
      <c r="F33" s="16">
        <v>2</v>
      </c>
      <c r="G33" s="16" t="s">
        <v>120</v>
      </c>
      <c r="H33" s="16" t="s">
        <v>119</v>
      </c>
      <c r="I33" s="19" t="s">
        <v>130</v>
      </c>
      <c r="J33" s="16"/>
    </row>
    <row r="34" spans="1:10" ht="41.25" customHeight="1" x14ac:dyDescent="0.35">
      <c r="A34" s="16">
        <v>31</v>
      </c>
      <c r="B34" s="17">
        <f>$C$1+(31-1)*7</f>
        <v>46482</v>
      </c>
      <c r="C34" s="20" t="s">
        <v>64</v>
      </c>
      <c r="D34" s="18" t="s">
        <v>131</v>
      </c>
      <c r="E34" s="16">
        <v>2</v>
      </c>
      <c r="F34" s="16">
        <v>2</v>
      </c>
      <c r="G34" s="16" t="s">
        <v>132</v>
      </c>
      <c r="H34" s="16" t="s">
        <v>133</v>
      </c>
      <c r="I34" s="16"/>
      <c r="J34" s="16"/>
    </row>
    <row r="35" spans="1:10" ht="41.25" customHeight="1" x14ac:dyDescent="0.35">
      <c r="A35" s="16">
        <v>32</v>
      </c>
      <c r="B35" s="17">
        <f>$C$1+(32-1)*7</f>
        <v>46489</v>
      </c>
      <c r="C35" s="20" t="s">
        <v>64</v>
      </c>
      <c r="D35" s="18" t="s">
        <v>131</v>
      </c>
      <c r="E35" s="16">
        <v>2</v>
      </c>
      <c r="F35" s="16">
        <v>2</v>
      </c>
      <c r="G35" s="16" t="s">
        <v>132</v>
      </c>
      <c r="H35" s="16" t="s">
        <v>133</v>
      </c>
      <c r="I35" s="19" t="s">
        <v>134</v>
      </c>
      <c r="J35" s="16"/>
    </row>
    <row r="36" spans="1:10" ht="41.25" customHeight="1" x14ac:dyDescent="0.35">
      <c r="A36" s="16">
        <v>33</v>
      </c>
      <c r="B36" s="17">
        <f>$C$1+(33-1)*7</f>
        <v>46496</v>
      </c>
      <c r="C36" s="20" t="s">
        <v>64</v>
      </c>
      <c r="D36" s="18" t="s">
        <v>131</v>
      </c>
      <c r="E36" s="16">
        <v>2</v>
      </c>
      <c r="F36" s="16">
        <v>2</v>
      </c>
      <c r="G36" s="16" t="s">
        <v>132</v>
      </c>
      <c r="H36" s="16" t="s">
        <v>133</v>
      </c>
      <c r="I36" s="16"/>
      <c r="J36" s="16"/>
    </row>
    <row r="37" spans="1:10" ht="41.25" customHeight="1" x14ac:dyDescent="0.35">
      <c r="A37" s="16">
        <v>34</v>
      </c>
      <c r="B37" s="17">
        <f>$C$1+(34-1)*7</f>
        <v>46503</v>
      </c>
      <c r="C37" s="20" t="s">
        <v>64</v>
      </c>
      <c r="D37" s="18" t="s">
        <v>131</v>
      </c>
      <c r="E37" s="16">
        <v>2</v>
      </c>
      <c r="F37" s="16">
        <v>2</v>
      </c>
      <c r="G37" s="16" t="s">
        <v>132</v>
      </c>
      <c r="H37" s="16" t="s">
        <v>133</v>
      </c>
      <c r="I37" s="19" t="s">
        <v>135</v>
      </c>
      <c r="J37" s="16"/>
    </row>
    <row r="38" spans="1:10" ht="27.75" customHeight="1" x14ac:dyDescent="0.35">
      <c r="A38" s="16">
        <v>35</v>
      </c>
      <c r="B38" s="17">
        <f>$C$1+(35-1)*7</f>
        <v>46510</v>
      </c>
      <c r="C38" s="16" t="s">
        <v>67</v>
      </c>
      <c r="D38" s="18" t="s">
        <v>136</v>
      </c>
      <c r="E38" s="16">
        <v>3</v>
      </c>
      <c r="F38" s="16">
        <v>3</v>
      </c>
      <c r="G38" s="16" t="s">
        <v>120</v>
      </c>
      <c r="H38" s="16" t="s">
        <v>122</v>
      </c>
      <c r="I38" s="16"/>
      <c r="J38" s="16"/>
    </row>
    <row r="39" spans="1:10" ht="27.75" customHeight="1" x14ac:dyDescent="0.35">
      <c r="A39" s="16">
        <v>36</v>
      </c>
      <c r="B39" s="17">
        <f>$C$1+(36-1)*7</f>
        <v>46517</v>
      </c>
      <c r="C39" s="16" t="s">
        <v>67</v>
      </c>
      <c r="D39" s="18" t="s">
        <v>136</v>
      </c>
      <c r="E39" s="16">
        <v>3</v>
      </c>
      <c r="F39" s="16">
        <v>3</v>
      </c>
      <c r="G39" s="16" t="s">
        <v>120</v>
      </c>
      <c r="H39" s="16" t="s">
        <v>122</v>
      </c>
      <c r="I39" s="16"/>
      <c r="J39" s="16"/>
    </row>
    <row r="40" spans="1:10" ht="27.75" customHeight="1" x14ac:dyDescent="0.35">
      <c r="A40" s="16">
        <v>37</v>
      </c>
      <c r="B40" s="17">
        <f>$C$1+(37-1)*7</f>
        <v>46524</v>
      </c>
      <c r="C40" s="16" t="s">
        <v>67</v>
      </c>
      <c r="D40" s="18" t="s">
        <v>136</v>
      </c>
      <c r="E40" s="16">
        <v>3</v>
      </c>
      <c r="F40" s="16">
        <v>3</v>
      </c>
      <c r="G40" s="16" t="s">
        <v>120</v>
      </c>
      <c r="H40" s="16" t="s">
        <v>122</v>
      </c>
      <c r="I40" s="16"/>
      <c r="J40" s="16"/>
    </row>
    <row r="41" spans="1:10" ht="27.75" customHeight="1" x14ac:dyDescent="0.35">
      <c r="A41" s="16">
        <v>38</v>
      </c>
      <c r="B41" s="17">
        <f>$C$1+(38-1)*7</f>
        <v>46531</v>
      </c>
      <c r="C41" s="16" t="s">
        <v>67</v>
      </c>
      <c r="D41" s="18" t="s">
        <v>136</v>
      </c>
      <c r="E41" s="16">
        <v>3</v>
      </c>
      <c r="F41" s="16">
        <v>3</v>
      </c>
      <c r="G41" s="16" t="s">
        <v>120</v>
      </c>
      <c r="H41" s="16" t="s">
        <v>122</v>
      </c>
      <c r="I41" s="19" t="s">
        <v>137</v>
      </c>
      <c r="J41" s="16"/>
    </row>
    <row r="42" spans="1:10" ht="27.75" customHeight="1" x14ac:dyDescent="0.35">
      <c r="A42" s="16">
        <v>39</v>
      </c>
      <c r="B42" s="17">
        <f>$C$1+(39-1)*7</f>
        <v>46538</v>
      </c>
      <c r="C42" s="16" t="s">
        <v>67</v>
      </c>
      <c r="D42" s="18" t="s">
        <v>136</v>
      </c>
      <c r="E42" s="16">
        <v>3</v>
      </c>
      <c r="F42" s="16">
        <v>3</v>
      </c>
      <c r="G42" s="16" t="s">
        <v>120</v>
      </c>
      <c r="H42" s="16" t="s">
        <v>122</v>
      </c>
      <c r="I42" s="16"/>
      <c r="J42" s="16"/>
    </row>
    <row r="43" spans="1:10" ht="27.75" customHeight="1" x14ac:dyDescent="0.35">
      <c r="A43" s="16">
        <v>40</v>
      </c>
      <c r="B43" s="17">
        <f>$C$1+(40-1)*7</f>
        <v>46545</v>
      </c>
      <c r="C43" s="16" t="s">
        <v>67</v>
      </c>
      <c r="D43" s="18" t="s">
        <v>136</v>
      </c>
      <c r="E43" s="16">
        <v>3</v>
      </c>
      <c r="F43" s="16">
        <v>3</v>
      </c>
      <c r="G43" s="16" t="s">
        <v>120</v>
      </c>
      <c r="H43" s="16" t="s">
        <v>122</v>
      </c>
      <c r="I43" s="16"/>
      <c r="J43" s="16"/>
    </row>
    <row r="44" spans="1:10" ht="27.75" customHeight="1" x14ac:dyDescent="0.35">
      <c r="A44" s="16">
        <v>41</v>
      </c>
      <c r="B44" s="17">
        <f>$C$1+(41-1)*7</f>
        <v>46552</v>
      </c>
      <c r="C44" s="16" t="s">
        <v>67</v>
      </c>
      <c r="D44" s="18" t="s">
        <v>136</v>
      </c>
      <c r="E44" s="16">
        <v>3</v>
      </c>
      <c r="F44" s="16">
        <v>3</v>
      </c>
      <c r="G44" s="16" t="s">
        <v>120</v>
      </c>
      <c r="H44" s="16" t="s">
        <v>122</v>
      </c>
      <c r="I44" s="19" t="s">
        <v>138</v>
      </c>
      <c r="J44" s="16"/>
    </row>
    <row r="45" spans="1:10" ht="27.75" customHeight="1" x14ac:dyDescent="0.35">
      <c r="A45" s="16">
        <v>42</v>
      </c>
      <c r="B45" s="17">
        <f>$C$1+(42-1)*7</f>
        <v>46559</v>
      </c>
      <c r="C45" s="16" t="s">
        <v>67</v>
      </c>
      <c r="D45" s="18" t="s">
        <v>136</v>
      </c>
      <c r="E45" s="16">
        <v>3</v>
      </c>
      <c r="F45" s="16">
        <v>3</v>
      </c>
      <c r="G45" s="16" t="s">
        <v>120</v>
      </c>
      <c r="H45" s="16" t="s">
        <v>122</v>
      </c>
      <c r="I45" s="16"/>
      <c r="J45" s="16"/>
    </row>
    <row r="46" spans="1:10" ht="27.75" customHeight="1" x14ac:dyDescent="0.35">
      <c r="A46" s="16">
        <v>43</v>
      </c>
      <c r="B46" s="17">
        <f>$C$1+(43-1)*7</f>
        <v>46566</v>
      </c>
      <c r="C46" s="16" t="s">
        <v>69</v>
      </c>
      <c r="D46" s="18" t="s">
        <v>139</v>
      </c>
      <c r="E46" s="16">
        <v>1</v>
      </c>
      <c r="F46" s="16">
        <v>2</v>
      </c>
      <c r="G46" s="16" t="s">
        <v>133</v>
      </c>
      <c r="H46" s="16" t="s">
        <v>133</v>
      </c>
      <c r="I46" s="16"/>
      <c r="J46" s="16"/>
    </row>
    <row r="47" spans="1:10" ht="27.75" customHeight="1" x14ac:dyDescent="0.35">
      <c r="A47" s="16">
        <v>44</v>
      </c>
      <c r="B47" s="17">
        <f>$C$1+(44-1)*7</f>
        <v>46573</v>
      </c>
      <c r="C47" s="16" t="s">
        <v>69</v>
      </c>
      <c r="D47" s="18" t="s">
        <v>139</v>
      </c>
      <c r="E47" s="16">
        <v>1</v>
      </c>
      <c r="F47" s="16">
        <v>2</v>
      </c>
      <c r="G47" s="16" t="s">
        <v>133</v>
      </c>
      <c r="H47" s="16" t="s">
        <v>133</v>
      </c>
      <c r="I47" s="16"/>
      <c r="J47" s="16"/>
    </row>
    <row r="48" spans="1:10" ht="27.75" customHeight="1" x14ac:dyDescent="0.35">
      <c r="A48" s="16">
        <v>45</v>
      </c>
      <c r="B48" s="17">
        <f>$C$1+(45-1)*7</f>
        <v>46580</v>
      </c>
      <c r="C48" s="16" t="s">
        <v>69</v>
      </c>
      <c r="D48" s="18" t="s">
        <v>139</v>
      </c>
      <c r="E48" s="16">
        <v>1</v>
      </c>
      <c r="F48" s="16">
        <v>2</v>
      </c>
      <c r="G48" s="16" t="s">
        <v>133</v>
      </c>
      <c r="H48" s="16" t="s">
        <v>133</v>
      </c>
      <c r="I48" s="16"/>
      <c r="J48" s="16"/>
    </row>
    <row r="49" spans="1:10" ht="27.75" customHeight="1" x14ac:dyDescent="0.35">
      <c r="A49" s="16">
        <v>46</v>
      </c>
      <c r="B49" s="17">
        <f>$C$1+(46-1)*7</f>
        <v>46587</v>
      </c>
      <c r="C49" s="16" t="s">
        <v>69</v>
      </c>
      <c r="D49" s="18" t="s">
        <v>139</v>
      </c>
      <c r="E49" s="16">
        <v>1</v>
      </c>
      <c r="F49" s="16">
        <v>2</v>
      </c>
      <c r="G49" s="16" t="s">
        <v>133</v>
      </c>
      <c r="H49" s="16" t="s">
        <v>133</v>
      </c>
      <c r="I49" s="16"/>
      <c r="J49" s="16"/>
    </row>
    <row r="50" spans="1:10" ht="27.75" customHeight="1" x14ac:dyDescent="0.35">
      <c r="A50" s="16">
        <v>47</v>
      </c>
      <c r="B50" s="17">
        <f>$C$1+(47-1)*7</f>
        <v>46594</v>
      </c>
      <c r="C50" s="16" t="s">
        <v>71</v>
      </c>
      <c r="D50" s="18" t="s">
        <v>140</v>
      </c>
      <c r="E50" s="16">
        <v>0</v>
      </c>
      <c r="F50" s="16">
        <v>0</v>
      </c>
      <c r="G50" s="16" t="s">
        <v>141</v>
      </c>
      <c r="H50" s="16" t="s">
        <v>141</v>
      </c>
      <c r="I50" s="16"/>
      <c r="J50" s="16"/>
    </row>
    <row r="51" spans="1:10" ht="27.75" customHeight="1" x14ac:dyDescent="0.35">
      <c r="A51" s="16">
        <v>48</v>
      </c>
      <c r="B51" s="17">
        <f>$C$1+(48-1)*7</f>
        <v>46601</v>
      </c>
      <c r="C51" s="16" t="s">
        <v>71</v>
      </c>
      <c r="D51" s="18" t="s">
        <v>140</v>
      </c>
      <c r="E51" s="16">
        <v>0</v>
      </c>
      <c r="F51" s="16">
        <v>0</v>
      </c>
      <c r="G51" s="16" t="s">
        <v>141</v>
      </c>
      <c r="H51" s="16" t="s">
        <v>141</v>
      </c>
      <c r="I51" s="16"/>
      <c r="J51" s="16"/>
    </row>
    <row r="52" spans="1:10" ht="27.75" customHeight="1" x14ac:dyDescent="0.35">
      <c r="A52" s="16">
        <v>49</v>
      </c>
      <c r="B52" s="17">
        <f>$C$1+(49-1)*7</f>
        <v>46608</v>
      </c>
      <c r="C52" s="16" t="s">
        <v>71</v>
      </c>
      <c r="D52" s="18" t="s">
        <v>140</v>
      </c>
      <c r="E52" s="16">
        <v>0</v>
      </c>
      <c r="F52" s="16">
        <v>0</v>
      </c>
      <c r="G52" s="16" t="s">
        <v>141</v>
      </c>
      <c r="H52" s="16" t="s">
        <v>141</v>
      </c>
      <c r="I52" s="16"/>
      <c r="J52" s="16"/>
    </row>
    <row r="53" spans="1:10" ht="27.75" customHeight="1" x14ac:dyDescent="0.35">
      <c r="A53" s="16">
        <v>50</v>
      </c>
      <c r="B53" s="17">
        <f>$C$1+(50-1)*7</f>
        <v>46615</v>
      </c>
      <c r="C53" s="16" t="s">
        <v>71</v>
      </c>
      <c r="D53" s="18" t="s">
        <v>140</v>
      </c>
      <c r="E53" s="16">
        <v>0</v>
      </c>
      <c r="F53" s="16">
        <v>0</v>
      </c>
      <c r="G53" s="16" t="s">
        <v>141</v>
      </c>
      <c r="H53" s="16" t="s">
        <v>141</v>
      </c>
      <c r="I53" s="16"/>
      <c r="J53" s="16"/>
    </row>
    <row r="54" spans="1:10" ht="27.75" customHeight="1" x14ac:dyDescent="0.35">
      <c r="A54" s="16">
        <v>51</v>
      </c>
      <c r="B54" s="17">
        <f>$C$1+(51-1)*7</f>
        <v>46622</v>
      </c>
      <c r="C54" s="16" t="s">
        <v>71</v>
      </c>
      <c r="D54" s="18" t="s">
        <v>140</v>
      </c>
      <c r="E54" s="16">
        <v>0</v>
      </c>
      <c r="F54" s="16">
        <v>0</v>
      </c>
      <c r="G54" s="16" t="s">
        <v>141</v>
      </c>
      <c r="H54" s="16" t="s">
        <v>141</v>
      </c>
      <c r="I54" s="16"/>
      <c r="J54" s="16"/>
    </row>
    <row r="55" spans="1:10" ht="27.75" customHeight="1" x14ac:dyDescent="0.35">
      <c r="A55" s="16">
        <v>52</v>
      </c>
      <c r="B55" s="17">
        <f>$C$1+(52-1)*7</f>
        <v>46629</v>
      </c>
      <c r="C55" s="16" t="s">
        <v>71</v>
      </c>
      <c r="D55" s="18" t="s">
        <v>140</v>
      </c>
      <c r="E55" s="16">
        <v>0</v>
      </c>
      <c r="F55" s="16">
        <v>0</v>
      </c>
      <c r="G55" s="16" t="s">
        <v>141</v>
      </c>
      <c r="H55" s="16" t="s">
        <v>141</v>
      </c>
      <c r="I55" s="16"/>
      <c r="J55" s="16"/>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0"/>
  <sheetViews>
    <sheetView zoomScaleNormal="100" workbookViewId="0">
      <pane ySplit="1" topLeftCell="A2" activePane="bottomLeft" state="frozen"/>
      <selection pane="bottomLeft"/>
    </sheetView>
  </sheetViews>
  <sheetFormatPr defaultColWidth="8.6328125" defaultRowHeight="14.5" x14ac:dyDescent="0.35"/>
  <cols>
    <col min="1" max="1" width="9" style="1" customWidth="1"/>
    <col min="2" max="2" width="14" style="1" customWidth="1"/>
    <col min="3" max="3" width="34" style="1" customWidth="1"/>
    <col min="4" max="4" width="28" style="1" customWidth="1"/>
    <col min="5" max="5" width="15" style="1" customWidth="1"/>
    <col min="6" max="6" width="36" style="1" customWidth="1"/>
    <col min="7" max="7" width="12" style="1" customWidth="1"/>
    <col min="8" max="8" width="26" style="1" customWidth="1"/>
  </cols>
  <sheetData>
    <row r="1" spans="1:8" ht="15" customHeight="1" x14ac:dyDescent="0.35">
      <c r="A1" s="6" t="s">
        <v>142</v>
      </c>
      <c r="B1" s="6" t="s">
        <v>143</v>
      </c>
      <c r="C1" s="6" t="s">
        <v>144</v>
      </c>
      <c r="D1" s="6" t="s">
        <v>145</v>
      </c>
      <c r="E1" s="6" t="s">
        <v>146</v>
      </c>
      <c r="F1" s="6" t="s">
        <v>147</v>
      </c>
      <c r="G1" s="6" t="s">
        <v>39</v>
      </c>
      <c r="H1" s="6" t="s">
        <v>117</v>
      </c>
    </row>
    <row r="2" spans="1:8" ht="15" customHeight="1" x14ac:dyDescent="0.35">
      <c r="A2" s="21" t="s">
        <v>148</v>
      </c>
      <c r="B2" s="22">
        <v>46389</v>
      </c>
      <c r="C2" s="21" t="s">
        <v>149</v>
      </c>
      <c r="D2" s="21" t="s">
        <v>150</v>
      </c>
      <c r="E2" s="22">
        <v>46386</v>
      </c>
      <c r="F2" s="21"/>
      <c r="G2" s="21" t="s">
        <v>151</v>
      </c>
      <c r="H2" s="21"/>
    </row>
    <row r="3" spans="1:8" ht="15" customHeight="1" x14ac:dyDescent="0.35">
      <c r="A3" s="21" t="s">
        <v>152</v>
      </c>
      <c r="B3" s="22">
        <v>46410</v>
      </c>
      <c r="C3" s="21" t="s">
        <v>153</v>
      </c>
      <c r="D3" s="21" t="s">
        <v>150</v>
      </c>
      <c r="E3" s="22">
        <v>46407</v>
      </c>
      <c r="F3" s="21" t="s">
        <v>154</v>
      </c>
      <c r="G3" s="21" t="s">
        <v>151</v>
      </c>
      <c r="H3" s="21" t="s">
        <v>155</v>
      </c>
    </row>
    <row r="4" spans="1:8" ht="15" customHeight="1" x14ac:dyDescent="0.35">
      <c r="A4" s="21" t="s">
        <v>156</v>
      </c>
      <c r="B4" s="22">
        <v>46431</v>
      </c>
      <c r="C4" s="21" t="s">
        <v>157</v>
      </c>
      <c r="D4" s="21" t="s">
        <v>150</v>
      </c>
      <c r="E4" s="22">
        <v>46428</v>
      </c>
      <c r="F4" s="21" t="s">
        <v>154</v>
      </c>
      <c r="G4" s="21" t="s">
        <v>151</v>
      </c>
      <c r="H4" s="21" t="s">
        <v>158</v>
      </c>
    </row>
    <row r="5" spans="1:8" ht="15" customHeight="1" x14ac:dyDescent="0.35">
      <c r="A5" s="21" t="s">
        <v>159</v>
      </c>
      <c r="B5" s="22"/>
      <c r="C5" s="21" t="s">
        <v>130</v>
      </c>
      <c r="D5" s="21" t="s">
        <v>160</v>
      </c>
      <c r="E5" s="22"/>
      <c r="F5" s="21"/>
      <c r="G5" s="21" t="s">
        <v>161</v>
      </c>
      <c r="H5" s="21" t="s">
        <v>162</v>
      </c>
    </row>
    <row r="6" spans="1:8" ht="15" customHeight="1" x14ac:dyDescent="0.35">
      <c r="A6" s="21" t="s">
        <v>163</v>
      </c>
      <c r="B6" s="22"/>
      <c r="C6" s="21" t="s">
        <v>138</v>
      </c>
      <c r="D6" s="21" t="s">
        <v>160</v>
      </c>
      <c r="E6" s="22"/>
      <c r="F6" s="21"/>
      <c r="G6" s="21" t="s">
        <v>161</v>
      </c>
      <c r="H6" s="21"/>
    </row>
    <row r="7" spans="1:8" ht="15" customHeight="1" x14ac:dyDescent="0.35">
      <c r="A7" s="12"/>
      <c r="B7" s="12"/>
      <c r="C7" s="12"/>
      <c r="D7" s="12"/>
      <c r="E7" s="12"/>
      <c r="F7" s="12"/>
      <c r="G7" s="12"/>
      <c r="H7" s="12"/>
    </row>
    <row r="8" spans="1:8" ht="15" customHeight="1" x14ac:dyDescent="0.35">
      <c r="A8" s="12"/>
      <c r="B8" s="12"/>
      <c r="C8" s="12"/>
      <c r="D8" s="12"/>
      <c r="E8" s="12"/>
      <c r="F8" s="12"/>
      <c r="G8" s="12"/>
      <c r="H8" s="12"/>
    </row>
    <row r="9" spans="1:8" ht="15" customHeight="1" x14ac:dyDescent="0.35">
      <c r="A9" s="12"/>
      <c r="B9" s="12"/>
      <c r="C9" s="12"/>
      <c r="D9" s="12"/>
      <c r="E9" s="12"/>
      <c r="F9" s="12"/>
      <c r="G9" s="12"/>
      <c r="H9" s="12"/>
    </row>
    <row r="10" spans="1:8" ht="15" customHeight="1" x14ac:dyDescent="0.35">
      <c r="A10" s="12"/>
      <c r="B10" s="12"/>
      <c r="C10" s="12"/>
      <c r="D10" s="12"/>
      <c r="E10" s="12"/>
      <c r="F10" s="12"/>
      <c r="G10" s="12"/>
      <c r="H10" s="12"/>
    </row>
    <row r="11" spans="1:8" ht="15" customHeight="1" x14ac:dyDescent="0.35">
      <c r="A11" s="12"/>
      <c r="B11" s="12"/>
      <c r="C11" s="12"/>
      <c r="D11" s="12"/>
      <c r="E11" s="12"/>
      <c r="F11" s="12"/>
      <c r="G11" s="12"/>
      <c r="H11" s="12"/>
    </row>
    <row r="12" spans="1:8" ht="15" customHeight="1" x14ac:dyDescent="0.35">
      <c r="A12" s="12"/>
      <c r="B12" s="12"/>
      <c r="C12" s="12"/>
      <c r="D12" s="12"/>
      <c r="E12" s="12"/>
      <c r="F12" s="12"/>
      <c r="G12" s="12"/>
      <c r="H12" s="12"/>
    </row>
    <row r="13" spans="1:8" ht="15" customHeight="1" x14ac:dyDescent="0.35">
      <c r="A13" s="12"/>
      <c r="B13" s="12"/>
      <c r="C13" s="12"/>
      <c r="D13" s="12"/>
      <c r="E13" s="12"/>
      <c r="F13" s="12"/>
      <c r="G13" s="12"/>
      <c r="H13" s="12"/>
    </row>
    <row r="14" spans="1:8" ht="15" customHeight="1" x14ac:dyDescent="0.35">
      <c r="A14" s="12"/>
      <c r="B14" s="12"/>
      <c r="C14" s="12"/>
      <c r="D14" s="12"/>
      <c r="E14" s="12"/>
      <c r="F14" s="12"/>
      <c r="G14" s="12"/>
      <c r="H14" s="12"/>
    </row>
    <row r="15" spans="1:8" ht="15" customHeight="1" x14ac:dyDescent="0.35">
      <c r="A15" s="12"/>
      <c r="B15" s="12"/>
      <c r="C15" s="12"/>
      <c r="D15" s="12"/>
      <c r="E15" s="12"/>
      <c r="F15" s="12"/>
      <c r="G15" s="12"/>
      <c r="H15" s="12"/>
    </row>
    <row r="16" spans="1:8" ht="15" customHeight="1" x14ac:dyDescent="0.35">
      <c r="A16" s="12"/>
      <c r="B16" s="12"/>
      <c r="C16" s="12"/>
      <c r="D16" s="12"/>
      <c r="E16" s="12"/>
      <c r="F16" s="12"/>
      <c r="G16" s="12"/>
      <c r="H16" s="12"/>
    </row>
    <row r="17" spans="1:8" ht="15" customHeight="1" x14ac:dyDescent="0.35">
      <c r="A17" s="12"/>
      <c r="B17" s="12"/>
      <c r="C17" s="12"/>
      <c r="D17" s="12"/>
      <c r="E17" s="12"/>
      <c r="F17" s="12"/>
      <c r="G17" s="12"/>
      <c r="H17" s="12"/>
    </row>
    <row r="18" spans="1:8" ht="15" customHeight="1" x14ac:dyDescent="0.35">
      <c r="A18" s="12"/>
      <c r="B18" s="12"/>
      <c r="C18" s="12"/>
      <c r="D18" s="12"/>
      <c r="E18" s="12"/>
      <c r="F18" s="12"/>
      <c r="G18" s="12"/>
      <c r="H18" s="12"/>
    </row>
    <row r="19" spans="1:8" ht="15" customHeight="1" x14ac:dyDescent="0.35">
      <c r="A19" s="12"/>
      <c r="B19" s="12"/>
      <c r="C19" s="12"/>
      <c r="D19" s="12"/>
      <c r="E19" s="12"/>
      <c r="F19" s="12"/>
      <c r="G19" s="12"/>
      <c r="H19" s="12"/>
    </row>
    <row r="20" spans="1:8" ht="15" customHeight="1" x14ac:dyDescent="0.35">
      <c r="A20" s="12"/>
      <c r="B20" s="12"/>
      <c r="C20" s="12"/>
      <c r="D20" s="12"/>
      <c r="E20" s="12"/>
      <c r="F20" s="12"/>
      <c r="G20" s="12"/>
      <c r="H20" s="12"/>
    </row>
    <row r="21" spans="1:8" ht="15" customHeight="1" x14ac:dyDescent="0.35">
      <c r="A21" s="12"/>
      <c r="B21" s="12"/>
      <c r="C21" s="12"/>
      <c r="D21" s="12"/>
      <c r="E21" s="12"/>
      <c r="F21" s="12"/>
      <c r="G21" s="12"/>
      <c r="H21" s="12"/>
    </row>
    <row r="22" spans="1:8" ht="15" customHeight="1" x14ac:dyDescent="0.35">
      <c r="A22" s="12"/>
      <c r="B22" s="12"/>
      <c r="C22" s="12"/>
      <c r="D22" s="12"/>
      <c r="E22" s="12"/>
      <c r="F22" s="12"/>
      <c r="G22" s="12"/>
      <c r="H22" s="12"/>
    </row>
    <row r="23" spans="1:8" ht="15" customHeight="1" x14ac:dyDescent="0.35">
      <c r="A23" s="12"/>
      <c r="B23" s="12"/>
      <c r="C23" s="12"/>
      <c r="D23" s="12"/>
      <c r="E23" s="12"/>
      <c r="F23" s="12"/>
      <c r="G23" s="12"/>
      <c r="H23" s="12"/>
    </row>
    <row r="24" spans="1:8" ht="15" customHeight="1" x14ac:dyDescent="0.35">
      <c r="A24" s="12"/>
      <c r="B24" s="12"/>
      <c r="C24" s="12"/>
      <c r="D24" s="12"/>
      <c r="E24" s="12"/>
      <c r="F24" s="12"/>
      <c r="G24" s="12"/>
      <c r="H24" s="12"/>
    </row>
    <row r="25" spans="1:8" ht="15" customHeight="1" x14ac:dyDescent="0.35">
      <c r="A25" s="12"/>
      <c r="B25" s="12"/>
      <c r="C25" s="12"/>
      <c r="D25" s="12"/>
      <c r="E25" s="12"/>
      <c r="F25" s="12"/>
      <c r="G25" s="12"/>
      <c r="H25" s="12"/>
    </row>
    <row r="26" spans="1:8" ht="15" customHeight="1" x14ac:dyDescent="0.35">
      <c r="A26" s="12"/>
      <c r="B26" s="12"/>
      <c r="C26" s="12"/>
      <c r="D26" s="12"/>
      <c r="E26" s="12"/>
      <c r="F26" s="12"/>
      <c r="G26" s="12"/>
      <c r="H26" s="12"/>
    </row>
    <row r="27" spans="1:8" ht="15" customHeight="1" x14ac:dyDescent="0.35">
      <c r="A27" s="12"/>
      <c r="B27" s="12"/>
      <c r="C27" s="12"/>
      <c r="D27" s="12"/>
      <c r="E27" s="12"/>
      <c r="F27" s="12"/>
      <c r="G27" s="12"/>
      <c r="H27" s="12"/>
    </row>
    <row r="28" spans="1:8" ht="15" customHeight="1" x14ac:dyDescent="0.35">
      <c r="A28" s="12"/>
      <c r="B28" s="12"/>
      <c r="C28" s="12"/>
      <c r="D28" s="12"/>
      <c r="E28" s="12"/>
      <c r="F28" s="12"/>
      <c r="G28" s="12"/>
      <c r="H28" s="12"/>
    </row>
    <row r="29" spans="1:8" ht="15" customHeight="1" x14ac:dyDescent="0.35">
      <c r="A29" s="12"/>
      <c r="B29" s="12"/>
      <c r="C29" s="12"/>
      <c r="D29" s="12"/>
      <c r="E29" s="12"/>
      <c r="F29" s="12"/>
      <c r="G29" s="12"/>
      <c r="H29" s="12"/>
    </row>
    <row r="30" spans="1:8" ht="15" customHeight="1" x14ac:dyDescent="0.35">
      <c r="A30" s="12"/>
      <c r="B30" s="12"/>
      <c r="C30" s="12"/>
      <c r="D30" s="12"/>
      <c r="E30" s="12"/>
      <c r="F30" s="12"/>
      <c r="G30" s="12"/>
      <c r="H30" s="12"/>
    </row>
  </sheetData>
  <dataValidations count="1">
    <dataValidation type="list" allowBlank="1" sqref="G2:G30" xr:uid="{00000000-0002-0000-0400-000000000000}">
      <formula1>"Confirmed,TBC,Postponed,Completed,Cancelled"</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01"/>
  <sheetViews>
    <sheetView zoomScaleNormal="100" workbookViewId="0">
      <pane ySplit="1" topLeftCell="A2" activePane="bottomLeft" state="frozen"/>
      <selection pane="bottomLeft"/>
    </sheetView>
  </sheetViews>
  <sheetFormatPr defaultColWidth="8.6328125" defaultRowHeight="14.5" x14ac:dyDescent="0.35"/>
  <cols>
    <col min="1" max="1" width="10" style="1" customWidth="1"/>
    <col min="2" max="2" width="13" style="1" customWidth="1"/>
    <col min="3" max="3" width="8" style="1" customWidth="1"/>
    <col min="4" max="4" width="11" style="1" customWidth="1"/>
    <col min="5" max="5" width="12" style="1" customWidth="1"/>
    <col min="6" max="6" width="14" style="1" customWidth="1"/>
    <col min="7" max="8" width="11" style="1" customWidth="1"/>
    <col min="9" max="9" width="15" style="1" customWidth="1"/>
    <col min="10" max="10" width="11" style="1" customWidth="1"/>
    <col min="11" max="11" width="15" style="1" customWidth="1"/>
    <col min="12" max="13" width="26" style="1" customWidth="1"/>
  </cols>
  <sheetData>
    <row r="1" spans="1:13" ht="15" customHeight="1" x14ac:dyDescent="0.35">
      <c r="A1" s="6" t="s">
        <v>164</v>
      </c>
      <c r="B1" s="6" t="s">
        <v>143</v>
      </c>
      <c r="C1" s="6" t="s">
        <v>108</v>
      </c>
      <c r="D1" s="6" t="s">
        <v>80</v>
      </c>
      <c r="E1" s="6" t="s">
        <v>165</v>
      </c>
      <c r="F1" s="6" t="s">
        <v>166</v>
      </c>
      <c r="G1" s="6" t="s">
        <v>167</v>
      </c>
      <c r="H1" s="6" t="s">
        <v>168</v>
      </c>
      <c r="I1" s="6" t="s">
        <v>169</v>
      </c>
      <c r="J1" s="6" t="s">
        <v>170</v>
      </c>
      <c r="K1" s="6" t="s">
        <v>171</v>
      </c>
      <c r="L1" s="6" t="s">
        <v>144</v>
      </c>
      <c r="M1" s="6" t="s">
        <v>117</v>
      </c>
    </row>
    <row r="2" spans="1:13" ht="15" customHeight="1" x14ac:dyDescent="0.35">
      <c r="A2" s="21" t="s">
        <v>172</v>
      </c>
      <c r="B2" s="22">
        <v>46277</v>
      </c>
      <c r="C2" s="21">
        <v>1</v>
      </c>
      <c r="D2" s="21" t="s">
        <v>94</v>
      </c>
      <c r="E2" s="21" t="s">
        <v>43</v>
      </c>
      <c r="F2" s="23">
        <v>15.1</v>
      </c>
      <c r="G2" s="24">
        <v>180</v>
      </c>
      <c r="H2" s="24">
        <v>120</v>
      </c>
      <c r="I2" s="24">
        <v>100</v>
      </c>
      <c r="J2" s="21">
        <v>7</v>
      </c>
      <c r="K2" s="21" t="s">
        <v>50</v>
      </c>
      <c r="L2" s="21"/>
      <c r="M2" s="21" t="s">
        <v>173</v>
      </c>
    </row>
    <row r="3" spans="1:13" ht="15" customHeight="1" x14ac:dyDescent="0.35">
      <c r="A3" s="21" t="s">
        <v>174</v>
      </c>
      <c r="B3" s="22">
        <v>46277</v>
      </c>
      <c r="C3" s="21">
        <v>1</v>
      </c>
      <c r="D3" s="21" t="s">
        <v>99</v>
      </c>
      <c r="E3" s="21" t="s">
        <v>43</v>
      </c>
      <c r="F3" s="23">
        <v>12.05</v>
      </c>
      <c r="G3" s="24">
        <v>90</v>
      </c>
      <c r="H3" s="24">
        <v>55</v>
      </c>
      <c r="I3" s="24">
        <v>60</v>
      </c>
      <c r="J3" s="21">
        <v>6</v>
      </c>
      <c r="K3" s="21" t="s">
        <v>50</v>
      </c>
      <c r="L3" s="21"/>
      <c r="M3" s="21" t="s">
        <v>173</v>
      </c>
    </row>
    <row r="4" spans="1:13" ht="15" customHeight="1" x14ac:dyDescent="0.35">
      <c r="A4" s="21" t="s">
        <v>175</v>
      </c>
      <c r="B4" s="22">
        <v>46277</v>
      </c>
      <c r="C4" s="21">
        <v>1</v>
      </c>
      <c r="D4" s="21" t="s">
        <v>103</v>
      </c>
      <c r="E4" s="21" t="s">
        <v>55</v>
      </c>
      <c r="F4" s="23">
        <v>54.2</v>
      </c>
      <c r="G4" s="24">
        <v>140</v>
      </c>
      <c r="H4" s="24">
        <v>95</v>
      </c>
      <c r="I4" s="24">
        <v>85</v>
      </c>
      <c r="J4" s="21">
        <v>7</v>
      </c>
      <c r="K4" s="21" t="s">
        <v>50</v>
      </c>
      <c r="L4" s="21"/>
      <c r="M4" s="21" t="s">
        <v>173</v>
      </c>
    </row>
    <row r="5" spans="1:13" ht="15" customHeight="1" x14ac:dyDescent="0.35">
      <c r="A5" s="21" t="s">
        <v>176</v>
      </c>
      <c r="B5" s="22">
        <v>46284</v>
      </c>
      <c r="C5" s="21">
        <v>2</v>
      </c>
      <c r="D5" s="21" t="s">
        <v>94</v>
      </c>
      <c r="E5" s="21" t="s">
        <v>43</v>
      </c>
      <c r="F5" s="23">
        <v>15.32</v>
      </c>
      <c r="G5" s="24">
        <v>182.5</v>
      </c>
      <c r="H5" s="24">
        <v>120</v>
      </c>
      <c r="I5" s="24">
        <v>102.5</v>
      </c>
      <c r="J5" s="21">
        <v>8</v>
      </c>
      <c r="K5" s="21" t="s">
        <v>50</v>
      </c>
      <c r="L5" s="21"/>
      <c r="M5" s="21"/>
    </row>
    <row r="6" spans="1:13" ht="15" customHeight="1" x14ac:dyDescent="0.35">
      <c r="A6" s="21" t="s">
        <v>177</v>
      </c>
      <c r="B6" s="22">
        <v>46284</v>
      </c>
      <c r="C6" s="21">
        <v>2</v>
      </c>
      <c r="D6" s="21" t="s">
        <v>99</v>
      </c>
      <c r="E6" s="21" t="s">
        <v>43</v>
      </c>
      <c r="F6" s="23">
        <v>12.22</v>
      </c>
      <c r="G6" s="24">
        <v>92.5</v>
      </c>
      <c r="H6" s="24">
        <v>57.5</v>
      </c>
      <c r="I6" s="24">
        <v>62.5</v>
      </c>
      <c r="J6" s="21">
        <v>7</v>
      </c>
      <c r="K6" s="21" t="s">
        <v>50</v>
      </c>
      <c r="L6" s="21"/>
      <c r="M6" s="21"/>
    </row>
    <row r="7" spans="1:13" ht="15" customHeight="1" x14ac:dyDescent="0.35">
      <c r="A7" s="21" t="s">
        <v>178</v>
      </c>
      <c r="B7" s="22">
        <v>46284</v>
      </c>
      <c r="C7" s="21">
        <v>2</v>
      </c>
      <c r="D7" s="21" t="s">
        <v>103</v>
      </c>
      <c r="E7" s="21" t="s">
        <v>55</v>
      </c>
      <c r="F7" s="23">
        <v>55.1</v>
      </c>
      <c r="G7" s="24">
        <v>142.5</v>
      </c>
      <c r="H7" s="24">
        <v>95</v>
      </c>
      <c r="I7" s="24">
        <v>87.5</v>
      </c>
      <c r="J7" s="21">
        <v>7</v>
      </c>
      <c r="K7" s="21" t="s">
        <v>50</v>
      </c>
      <c r="L7" s="21"/>
      <c r="M7" s="21"/>
    </row>
    <row r="8" spans="1:13" ht="15" customHeight="1" x14ac:dyDescent="0.35">
      <c r="A8" s="21" t="s">
        <v>179</v>
      </c>
      <c r="B8" s="22">
        <v>46291</v>
      </c>
      <c r="C8" s="21">
        <v>3</v>
      </c>
      <c r="D8" s="21" t="s">
        <v>94</v>
      </c>
      <c r="E8" s="21" t="s">
        <v>43</v>
      </c>
      <c r="F8" s="23">
        <v>15.05</v>
      </c>
      <c r="G8" s="24">
        <v>180</v>
      </c>
      <c r="H8" s="24">
        <v>122.5</v>
      </c>
      <c r="I8" s="24">
        <v>100</v>
      </c>
      <c r="J8" s="21">
        <v>9</v>
      </c>
      <c r="K8" s="21" t="s">
        <v>50</v>
      </c>
      <c r="L8" s="21"/>
      <c r="M8" s="21" t="s">
        <v>180</v>
      </c>
    </row>
    <row r="9" spans="1:13" ht="15" customHeight="1" x14ac:dyDescent="0.35">
      <c r="A9" s="21" t="s">
        <v>181</v>
      </c>
      <c r="B9" s="22">
        <v>46291</v>
      </c>
      <c r="C9" s="21">
        <v>3</v>
      </c>
      <c r="D9" s="21" t="s">
        <v>99</v>
      </c>
      <c r="E9" s="21" t="s">
        <v>43</v>
      </c>
      <c r="F9" s="23">
        <v>12.3</v>
      </c>
      <c r="G9" s="24">
        <v>92.5</v>
      </c>
      <c r="H9" s="24">
        <v>57.5</v>
      </c>
      <c r="I9" s="24">
        <v>62.5</v>
      </c>
      <c r="J9" s="21">
        <v>7</v>
      </c>
      <c r="K9" s="21" t="s">
        <v>50</v>
      </c>
      <c r="L9" s="21"/>
      <c r="M9" s="21"/>
    </row>
    <row r="10" spans="1:13" ht="15" customHeight="1" x14ac:dyDescent="0.35">
      <c r="A10" s="21" t="s">
        <v>182</v>
      </c>
      <c r="B10" s="22">
        <v>46291</v>
      </c>
      <c r="C10" s="21">
        <v>3</v>
      </c>
      <c r="D10" s="21" t="s">
        <v>103</v>
      </c>
      <c r="E10" s="21" t="s">
        <v>55</v>
      </c>
      <c r="F10" s="23">
        <v>53.8</v>
      </c>
      <c r="G10" s="24">
        <v>140</v>
      </c>
      <c r="H10" s="24">
        <v>97.5</v>
      </c>
      <c r="I10" s="24">
        <v>85</v>
      </c>
      <c r="J10" s="21">
        <v>8</v>
      </c>
      <c r="K10" s="21" t="s">
        <v>50</v>
      </c>
      <c r="L10" s="21"/>
      <c r="M10" s="21"/>
    </row>
    <row r="11" spans="1:13" ht="15" customHeight="1" x14ac:dyDescent="0.35">
      <c r="A11" s="21" t="s">
        <v>183</v>
      </c>
      <c r="B11" s="22">
        <v>46298</v>
      </c>
      <c r="C11" s="21">
        <v>4</v>
      </c>
      <c r="D11" s="21" t="s">
        <v>94</v>
      </c>
      <c r="E11" s="21" t="s">
        <v>43</v>
      </c>
      <c r="F11" s="23">
        <v>15.48</v>
      </c>
      <c r="G11" s="24">
        <v>185</v>
      </c>
      <c r="H11" s="24">
        <v>122.5</v>
      </c>
      <c r="I11" s="24">
        <v>105</v>
      </c>
      <c r="J11" s="21">
        <v>8</v>
      </c>
      <c r="K11" s="21" t="s">
        <v>44</v>
      </c>
      <c r="L11" s="21" t="s">
        <v>129</v>
      </c>
      <c r="M11" s="21"/>
    </row>
    <row r="12" spans="1:13" ht="15" customHeight="1" x14ac:dyDescent="0.35">
      <c r="A12" s="21" t="s">
        <v>184</v>
      </c>
      <c r="B12" s="22">
        <v>46298</v>
      </c>
      <c r="C12" s="21">
        <v>4</v>
      </c>
      <c r="D12" s="21" t="s">
        <v>99</v>
      </c>
      <c r="E12" s="21" t="s">
        <v>43</v>
      </c>
      <c r="F12" s="23">
        <v>12.18</v>
      </c>
      <c r="G12" s="24">
        <v>95</v>
      </c>
      <c r="H12" s="24">
        <v>60</v>
      </c>
      <c r="I12" s="24">
        <v>65</v>
      </c>
      <c r="J12" s="21">
        <v>8</v>
      </c>
      <c r="K12" s="21" t="s">
        <v>50</v>
      </c>
      <c r="L12" s="21"/>
      <c r="M12" s="21"/>
    </row>
    <row r="13" spans="1:13" ht="15" customHeight="1" x14ac:dyDescent="0.35">
      <c r="A13" s="21" t="s">
        <v>185</v>
      </c>
      <c r="B13" s="22">
        <v>46298</v>
      </c>
      <c r="C13" s="21">
        <v>4</v>
      </c>
      <c r="D13" s="21" t="s">
        <v>103</v>
      </c>
      <c r="E13" s="21" t="s">
        <v>55</v>
      </c>
      <c r="F13" s="23">
        <v>56.02</v>
      </c>
      <c r="G13" s="24">
        <v>145</v>
      </c>
      <c r="H13" s="24">
        <v>100</v>
      </c>
      <c r="I13" s="24">
        <v>90</v>
      </c>
      <c r="J13" s="21">
        <v>8</v>
      </c>
      <c r="K13" s="21" t="s">
        <v>44</v>
      </c>
      <c r="L13" s="21" t="s">
        <v>129</v>
      </c>
      <c r="M13" s="21"/>
    </row>
    <row r="14" spans="1:13" ht="15" customHeight="1" x14ac:dyDescent="0.35">
      <c r="A14" s="12"/>
      <c r="B14" s="12"/>
      <c r="C14" s="12"/>
      <c r="D14" s="12"/>
      <c r="E14" s="12"/>
      <c r="F14" s="12"/>
      <c r="G14" s="12"/>
      <c r="H14" s="12"/>
      <c r="I14" s="12"/>
      <c r="J14" s="12"/>
      <c r="K14" s="12"/>
      <c r="L14" s="12"/>
      <c r="M14" s="12"/>
    </row>
    <row r="15" spans="1:13" ht="15" customHeight="1" x14ac:dyDescent="0.35">
      <c r="A15" s="12"/>
      <c r="B15" s="12"/>
      <c r="C15" s="12"/>
      <c r="D15" s="12"/>
      <c r="E15" s="12"/>
      <c r="F15" s="12"/>
      <c r="G15" s="12"/>
      <c r="H15" s="12"/>
      <c r="I15" s="12"/>
      <c r="J15" s="12"/>
      <c r="K15" s="12"/>
      <c r="L15" s="12"/>
      <c r="M15" s="12"/>
    </row>
    <row r="16" spans="1:13" ht="15" customHeight="1" x14ac:dyDescent="0.35">
      <c r="A16" s="12"/>
      <c r="B16" s="12"/>
      <c r="C16" s="12"/>
      <c r="D16" s="12"/>
      <c r="E16" s="12"/>
      <c r="F16" s="12"/>
      <c r="G16" s="12"/>
      <c r="H16" s="12"/>
      <c r="I16" s="12"/>
      <c r="J16" s="12"/>
      <c r="K16" s="12"/>
      <c r="L16" s="12"/>
      <c r="M16" s="12"/>
    </row>
    <row r="17" spans="1:13" ht="15" customHeight="1" x14ac:dyDescent="0.35">
      <c r="A17" s="12"/>
      <c r="B17" s="12"/>
      <c r="C17" s="12"/>
      <c r="D17" s="12"/>
      <c r="E17" s="12"/>
      <c r="F17" s="12"/>
      <c r="G17" s="12"/>
      <c r="H17" s="12"/>
      <c r="I17" s="12"/>
      <c r="J17" s="12"/>
      <c r="K17" s="12"/>
      <c r="L17" s="12"/>
      <c r="M17" s="12"/>
    </row>
    <row r="18" spans="1:13" ht="15" customHeight="1" x14ac:dyDescent="0.35">
      <c r="A18" s="12"/>
      <c r="B18" s="12"/>
      <c r="C18" s="12"/>
      <c r="D18" s="12"/>
      <c r="E18" s="12"/>
      <c r="F18" s="12"/>
      <c r="G18" s="12"/>
      <c r="H18" s="12"/>
      <c r="I18" s="12"/>
      <c r="J18" s="12"/>
      <c r="K18" s="12"/>
      <c r="L18" s="12"/>
      <c r="M18" s="12"/>
    </row>
    <row r="19" spans="1:13" ht="15" customHeight="1" x14ac:dyDescent="0.35">
      <c r="A19" s="12"/>
      <c r="B19" s="12"/>
      <c r="C19" s="12"/>
      <c r="D19" s="12"/>
      <c r="E19" s="12"/>
      <c r="F19" s="12"/>
      <c r="G19" s="12"/>
      <c r="H19" s="12"/>
      <c r="I19" s="12"/>
      <c r="J19" s="12"/>
      <c r="K19" s="12"/>
      <c r="L19" s="12"/>
      <c r="M19" s="12"/>
    </row>
    <row r="20" spans="1:13" ht="15" customHeight="1" x14ac:dyDescent="0.35">
      <c r="A20" s="12"/>
      <c r="B20" s="12"/>
      <c r="C20" s="12"/>
      <c r="D20" s="12"/>
      <c r="E20" s="12"/>
      <c r="F20" s="12"/>
      <c r="G20" s="12"/>
      <c r="H20" s="12"/>
      <c r="I20" s="12"/>
      <c r="J20" s="12"/>
      <c r="K20" s="12"/>
      <c r="L20" s="12"/>
      <c r="M20" s="12"/>
    </row>
    <row r="21" spans="1:13" ht="15" customHeight="1" x14ac:dyDescent="0.35">
      <c r="A21" s="12"/>
      <c r="B21" s="12"/>
      <c r="C21" s="12"/>
      <c r="D21" s="12"/>
      <c r="E21" s="12"/>
      <c r="F21" s="12"/>
      <c r="G21" s="12"/>
      <c r="H21" s="12"/>
      <c r="I21" s="12"/>
      <c r="J21" s="12"/>
      <c r="K21" s="12"/>
      <c r="L21" s="12"/>
      <c r="M21" s="12"/>
    </row>
    <row r="22" spans="1:13" ht="15" customHeight="1" x14ac:dyDescent="0.35">
      <c r="A22" s="12"/>
      <c r="B22" s="12"/>
      <c r="C22" s="12"/>
      <c r="D22" s="12"/>
      <c r="E22" s="12"/>
      <c r="F22" s="12"/>
      <c r="G22" s="12"/>
      <c r="H22" s="12"/>
      <c r="I22" s="12"/>
      <c r="J22" s="12"/>
      <c r="K22" s="12"/>
      <c r="L22" s="12"/>
      <c r="M22" s="12"/>
    </row>
    <row r="23" spans="1:13" ht="15" customHeight="1" x14ac:dyDescent="0.35">
      <c r="A23" s="12"/>
      <c r="B23" s="12"/>
      <c r="C23" s="12"/>
      <c r="D23" s="12"/>
      <c r="E23" s="12"/>
      <c r="F23" s="12"/>
      <c r="G23" s="12"/>
      <c r="H23" s="12"/>
      <c r="I23" s="12"/>
      <c r="J23" s="12"/>
      <c r="K23" s="12"/>
      <c r="L23" s="12"/>
      <c r="M23" s="12"/>
    </row>
    <row r="24" spans="1:13" ht="15" customHeight="1" x14ac:dyDescent="0.35">
      <c r="A24" s="12"/>
      <c r="B24" s="12"/>
      <c r="C24" s="12"/>
      <c r="D24" s="12"/>
      <c r="E24" s="12"/>
      <c r="F24" s="12"/>
      <c r="G24" s="12"/>
      <c r="H24" s="12"/>
      <c r="I24" s="12"/>
      <c r="J24" s="12"/>
      <c r="K24" s="12"/>
      <c r="L24" s="12"/>
      <c r="M24" s="12"/>
    </row>
    <row r="25" spans="1:13" ht="15" customHeight="1" x14ac:dyDescent="0.35">
      <c r="A25" s="12"/>
      <c r="B25" s="12"/>
      <c r="C25" s="12"/>
      <c r="D25" s="12"/>
      <c r="E25" s="12"/>
      <c r="F25" s="12"/>
      <c r="G25" s="12"/>
      <c r="H25" s="12"/>
      <c r="I25" s="12"/>
      <c r="J25" s="12"/>
      <c r="K25" s="12"/>
      <c r="L25" s="12"/>
      <c r="M25" s="12"/>
    </row>
    <row r="26" spans="1:13" ht="15" customHeight="1" x14ac:dyDescent="0.35">
      <c r="A26" s="12"/>
      <c r="B26" s="12"/>
      <c r="C26" s="12"/>
      <c r="D26" s="12"/>
      <c r="E26" s="12"/>
      <c r="F26" s="12"/>
      <c r="G26" s="12"/>
      <c r="H26" s="12"/>
      <c r="I26" s="12"/>
      <c r="J26" s="12"/>
      <c r="K26" s="12"/>
      <c r="L26" s="12"/>
      <c r="M26" s="12"/>
    </row>
    <row r="27" spans="1:13" ht="15" customHeight="1" x14ac:dyDescent="0.35">
      <c r="A27" s="12"/>
      <c r="B27" s="12"/>
      <c r="C27" s="12"/>
      <c r="D27" s="12"/>
      <c r="E27" s="12"/>
      <c r="F27" s="12"/>
      <c r="G27" s="12"/>
      <c r="H27" s="12"/>
      <c r="I27" s="12"/>
      <c r="J27" s="12"/>
      <c r="K27" s="12"/>
      <c r="L27" s="12"/>
      <c r="M27" s="12"/>
    </row>
    <row r="28" spans="1:13" ht="15" customHeight="1" x14ac:dyDescent="0.35">
      <c r="A28" s="12"/>
      <c r="B28" s="12"/>
      <c r="C28" s="12"/>
      <c r="D28" s="12"/>
      <c r="E28" s="12"/>
      <c r="F28" s="12"/>
      <c r="G28" s="12"/>
      <c r="H28" s="12"/>
      <c r="I28" s="12"/>
      <c r="J28" s="12"/>
      <c r="K28" s="12"/>
      <c r="L28" s="12"/>
      <c r="M28" s="12"/>
    </row>
    <row r="29" spans="1:13" ht="15" customHeight="1" x14ac:dyDescent="0.35">
      <c r="A29" s="12"/>
      <c r="B29" s="12"/>
      <c r="C29" s="12"/>
      <c r="D29" s="12"/>
      <c r="E29" s="12"/>
      <c r="F29" s="12"/>
      <c r="G29" s="12"/>
      <c r="H29" s="12"/>
      <c r="I29" s="12"/>
      <c r="J29" s="12"/>
      <c r="K29" s="12"/>
      <c r="L29" s="12"/>
      <c r="M29" s="12"/>
    </row>
    <row r="30" spans="1:13" ht="15" customHeight="1" x14ac:dyDescent="0.35">
      <c r="A30" s="12"/>
      <c r="B30" s="12"/>
      <c r="C30" s="12"/>
      <c r="D30" s="12"/>
      <c r="E30" s="12"/>
      <c r="F30" s="12"/>
      <c r="G30" s="12"/>
      <c r="H30" s="12"/>
      <c r="I30" s="12"/>
      <c r="J30" s="12"/>
      <c r="K30" s="12"/>
      <c r="L30" s="12"/>
      <c r="M30" s="12"/>
    </row>
    <row r="31" spans="1:13" ht="15" customHeight="1" x14ac:dyDescent="0.35">
      <c r="A31" s="12"/>
      <c r="B31" s="12"/>
      <c r="C31" s="12"/>
      <c r="D31" s="12"/>
      <c r="E31" s="12"/>
      <c r="F31" s="12"/>
      <c r="G31" s="12"/>
      <c r="H31" s="12"/>
      <c r="I31" s="12"/>
      <c r="J31" s="12"/>
      <c r="K31" s="12"/>
      <c r="L31" s="12"/>
      <c r="M31" s="12"/>
    </row>
    <row r="32" spans="1:13" ht="15" customHeight="1" x14ac:dyDescent="0.35">
      <c r="A32" s="12"/>
      <c r="B32" s="12"/>
      <c r="C32" s="12"/>
      <c r="D32" s="12"/>
      <c r="E32" s="12"/>
      <c r="F32" s="12"/>
      <c r="G32" s="12"/>
      <c r="H32" s="12"/>
      <c r="I32" s="12"/>
      <c r="J32" s="12"/>
      <c r="K32" s="12"/>
      <c r="L32" s="12"/>
      <c r="M32" s="12"/>
    </row>
    <row r="33" spans="1:13" ht="15" customHeight="1" x14ac:dyDescent="0.35">
      <c r="A33" s="12"/>
      <c r="B33" s="12"/>
      <c r="C33" s="12"/>
      <c r="D33" s="12"/>
      <c r="E33" s="12"/>
      <c r="F33" s="12"/>
      <c r="G33" s="12"/>
      <c r="H33" s="12"/>
      <c r="I33" s="12"/>
      <c r="J33" s="12"/>
      <c r="K33" s="12"/>
      <c r="L33" s="12"/>
      <c r="M33" s="12"/>
    </row>
    <row r="34" spans="1:13" ht="15" customHeight="1" x14ac:dyDescent="0.35">
      <c r="A34" s="12"/>
      <c r="B34" s="12"/>
      <c r="C34" s="12"/>
      <c r="D34" s="12"/>
      <c r="E34" s="12"/>
      <c r="F34" s="12"/>
      <c r="G34" s="12"/>
      <c r="H34" s="12"/>
      <c r="I34" s="12"/>
      <c r="J34" s="12"/>
      <c r="K34" s="12"/>
      <c r="L34" s="12"/>
      <c r="M34" s="12"/>
    </row>
    <row r="35" spans="1:13" ht="15" customHeight="1" x14ac:dyDescent="0.35">
      <c r="A35" s="12"/>
      <c r="B35" s="12"/>
      <c r="C35" s="12"/>
      <c r="D35" s="12"/>
      <c r="E35" s="12"/>
      <c r="F35" s="12"/>
      <c r="G35" s="12"/>
      <c r="H35" s="12"/>
      <c r="I35" s="12"/>
      <c r="J35" s="12"/>
      <c r="K35" s="12"/>
      <c r="L35" s="12"/>
      <c r="M35" s="12"/>
    </row>
    <row r="36" spans="1:13" ht="15" customHeight="1" x14ac:dyDescent="0.35">
      <c r="A36" s="12"/>
      <c r="B36" s="12"/>
      <c r="C36" s="12"/>
      <c r="D36" s="12"/>
      <c r="E36" s="12"/>
      <c r="F36" s="12"/>
      <c r="G36" s="12"/>
      <c r="H36" s="12"/>
      <c r="I36" s="12"/>
      <c r="J36" s="12"/>
      <c r="K36" s="12"/>
      <c r="L36" s="12"/>
      <c r="M36" s="12"/>
    </row>
    <row r="37" spans="1:13" ht="15" customHeight="1" x14ac:dyDescent="0.35">
      <c r="A37" s="12"/>
      <c r="B37" s="12"/>
      <c r="C37" s="12"/>
      <c r="D37" s="12"/>
      <c r="E37" s="12"/>
      <c r="F37" s="12"/>
      <c r="G37" s="12"/>
      <c r="H37" s="12"/>
      <c r="I37" s="12"/>
      <c r="J37" s="12"/>
      <c r="K37" s="12"/>
      <c r="L37" s="12"/>
      <c r="M37" s="12"/>
    </row>
    <row r="38" spans="1:13" ht="15" customHeight="1" x14ac:dyDescent="0.35">
      <c r="A38" s="12"/>
      <c r="B38" s="12"/>
      <c r="C38" s="12"/>
      <c r="D38" s="12"/>
      <c r="E38" s="12"/>
      <c r="F38" s="12"/>
      <c r="G38" s="12"/>
      <c r="H38" s="12"/>
      <c r="I38" s="12"/>
      <c r="J38" s="12"/>
      <c r="K38" s="12"/>
      <c r="L38" s="12"/>
      <c r="M38" s="12"/>
    </row>
    <row r="39" spans="1:13" ht="15" customHeight="1" x14ac:dyDescent="0.35">
      <c r="A39" s="12"/>
      <c r="B39" s="12"/>
      <c r="C39" s="12"/>
      <c r="D39" s="12"/>
      <c r="E39" s="12"/>
      <c r="F39" s="12"/>
      <c r="G39" s="12"/>
      <c r="H39" s="12"/>
      <c r="I39" s="12"/>
      <c r="J39" s="12"/>
      <c r="K39" s="12"/>
      <c r="L39" s="12"/>
      <c r="M39" s="12"/>
    </row>
    <row r="40" spans="1:13" ht="15" customHeight="1" x14ac:dyDescent="0.35">
      <c r="A40" s="12"/>
      <c r="B40" s="12"/>
      <c r="C40" s="12"/>
      <c r="D40" s="12"/>
      <c r="E40" s="12"/>
      <c r="F40" s="12"/>
      <c r="G40" s="12"/>
      <c r="H40" s="12"/>
      <c r="I40" s="12"/>
      <c r="J40" s="12"/>
      <c r="K40" s="12"/>
      <c r="L40" s="12"/>
      <c r="M40" s="12"/>
    </row>
    <row r="41" spans="1:13" ht="15" customHeight="1" x14ac:dyDescent="0.35">
      <c r="A41" s="12"/>
      <c r="B41" s="12"/>
      <c r="C41" s="12"/>
      <c r="D41" s="12"/>
      <c r="E41" s="12"/>
      <c r="F41" s="12"/>
      <c r="G41" s="12"/>
      <c r="H41" s="12"/>
      <c r="I41" s="12"/>
      <c r="J41" s="12"/>
      <c r="K41" s="12"/>
      <c r="L41" s="12"/>
      <c r="M41" s="12"/>
    </row>
    <row r="42" spans="1:13" ht="15" customHeight="1" x14ac:dyDescent="0.35">
      <c r="A42" s="12"/>
      <c r="B42" s="12"/>
      <c r="C42" s="12"/>
      <c r="D42" s="12"/>
      <c r="E42" s="12"/>
      <c r="F42" s="12"/>
      <c r="G42" s="12"/>
      <c r="H42" s="12"/>
      <c r="I42" s="12"/>
      <c r="J42" s="12"/>
      <c r="K42" s="12"/>
      <c r="L42" s="12"/>
      <c r="M42" s="12"/>
    </row>
    <row r="43" spans="1:13" ht="15" customHeight="1" x14ac:dyDescent="0.35">
      <c r="A43" s="12"/>
      <c r="B43" s="12"/>
      <c r="C43" s="12"/>
      <c r="D43" s="12"/>
      <c r="E43" s="12"/>
      <c r="F43" s="12"/>
      <c r="G43" s="12"/>
      <c r="H43" s="12"/>
      <c r="I43" s="12"/>
      <c r="J43" s="12"/>
      <c r="K43" s="12"/>
      <c r="L43" s="12"/>
      <c r="M43" s="12"/>
    </row>
    <row r="44" spans="1:13" ht="15" customHeight="1" x14ac:dyDescent="0.35">
      <c r="A44" s="12"/>
      <c r="B44" s="12"/>
      <c r="C44" s="12"/>
      <c r="D44" s="12"/>
      <c r="E44" s="12"/>
      <c r="F44" s="12"/>
      <c r="G44" s="12"/>
      <c r="H44" s="12"/>
      <c r="I44" s="12"/>
      <c r="J44" s="12"/>
      <c r="K44" s="12"/>
      <c r="L44" s="12"/>
      <c r="M44" s="12"/>
    </row>
    <row r="45" spans="1:13" ht="15" customHeight="1" x14ac:dyDescent="0.35">
      <c r="A45" s="12"/>
      <c r="B45" s="12"/>
      <c r="C45" s="12"/>
      <c r="D45" s="12"/>
      <c r="E45" s="12"/>
      <c r="F45" s="12"/>
      <c r="G45" s="12"/>
      <c r="H45" s="12"/>
      <c r="I45" s="12"/>
      <c r="J45" s="12"/>
      <c r="K45" s="12"/>
      <c r="L45" s="12"/>
      <c r="M45" s="12"/>
    </row>
    <row r="46" spans="1:13" ht="15" customHeight="1" x14ac:dyDescent="0.35">
      <c r="A46" s="12"/>
      <c r="B46" s="12"/>
      <c r="C46" s="12"/>
      <c r="D46" s="12"/>
      <c r="E46" s="12"/>
      <c r="F46" s="12"/>
      <c r="G46" s="12"/>
      <c r="H46" s="12"/>
      <c r="I46" s="12"/>
      <c r="J46" s="12"/>
      <c r="K46" s="12"/>
      <c r="L46" s="12"/>
      <c r="M46" s="12"/>
    </row>
    <row r="47" spans="1:13" ht="15" customHeight="1" x14ac:dyDescent="0.35">
      <c r="A47" s="12"/>
      <c r="B47" s="12"/>
      <c r="C47" s="12"/>
      <c r="D47" s="12"/>
      <c r="E47" s="12"/>
      <c r="F47" s="12"/>
      <c r="G47" s="12"/>
      <c r="H47" s="12"/>
      <c r="I47" s="12"/>
      <c r="J47" s="12"/>
      <c r="K47" s="12"/>
      <c r="L47" s="12"/>
      <c r="M47" s="12"/>
    </row>
    <row r="48" spans="1:13" ht="15" customHeight="1" x14ac:dyDescent="0.35">
      <c r="A48" s="12"/>
      <c r="B48" s="12"/>
      <c r="C48" s="12"/>
      <c r="D48" s="12"/>
      <c r="E48" s="12"/>
      <c r="F48" s="12"/>
      <c r="G48" s="12"/>
      <c r="H48" s="12"/>
      <c r="I48" s="12"/>
      <c r="J48" s="12"/>
      <c r="K48" s="12"/>
      <c r="L48" s="12"/>
      <c r="M48" s="12"/>
    </row>
    <row r="49" spans="1:13" ht="15" customHeight="1" x14ac:dyDescent="0.35">
      <c r="A49" s="12"/>
      <c r="B49" s="12"/>
      <c r="C49" s="12"/>
      <c r="D49" s="12"/>
      <c r="E49" s="12"/>
      <c r="F49" s="12"/>
      <c r="G49" s="12"/>
      <c r="H49" s="12"/>
      <c r="I49" s="12"/>
      <c r="J49" s="12"/>
      <c r="K49" s="12"/>
      <c r="L49" s="12"/>
      <c r="M49" s="12"/>
    </row>
    <row r="50" spans="1:13" ht="15" customHeight="1" x14ac:dyDescent="0.35">
      <c r="A50" s="12"/>
      <c r="B50" s="12"/>
      <c r="C50" s="12"/>
      <c r="D50" s="12"/>
      <c r="E50" s="12"/>
      <c r="F50" s="12"/>
      <c r="G50" s="12"/>
      <c r="H50" s="12"/>
      <c r="I50" s="12"/>
      <c r="J50" s="12"/>
      <c r="K50" s="12"/>
      <c r="L50" s="12"/>
      <c r="M50" s="12"/>
    </row>
    <row r="51" spans="1:13" ht="15" customHeight="1" x14ac:dyDescent="0.35">
      <c r="A51" s="12"/>
      <c r="B51" s="12"/>
      <c r="C51" s="12"/>
      <c r="D51" s="12"/>
      <c r="E51" s="12"/>
      <c r="F51" s="12"/>
      <c r="G51" s="12"/>
      <c r="H51" s="12"/>
      <c r="I51" s="12"/>
      <c r="J51" s="12"/>
      <c r="K51" s="12"/>
      <c r="L51" s="12"/>
      <c r="M51" s="12"/>
    </row>
    <row r="52" spans="1:13" ht="15" customHeight="1" x14ac:dyDescent="0.35">
      <c r="A52" s="12"/>
      <c r="B52" s="12"/>
      <c r="C52" s="12"/>
      <c r="D52" s="12"/>
      <c r="E52" s="12"/>
      <c r="F52" s="12"/>
      <c r="G52" s="12"/>
      <c r="H52" s="12"/>
      <c r="I52" s="12"/>
      <c r="J52" s="12"/>
      <c r="K52" s="12"/>
      <c r="L52" s="12"/>
      <c r="M52" s="12"/>
    </row>
    <row r="53" spans="1:13" ht="15" customHeight="1" x14ac:dyDescent="0.35">
      <c r="A53" s="12"/>
      <c r="B53" s="12"/>
      <c r="C53" s="12"/>
      <c r="D53" s="12"/>
      <c r="E53" s="12"/>
      <c r="F53" s="12"/>
      <c r="G53" s="12"/>
      <c r="H53" s="12"/>
      <c r="I53" s="12"/>
      <c r="J53" s="12"/>
      <c r="K53" s="12"/>
      <c r="L53" s="12"/>
      <c r="M53" s="12"/>
    </row>
    <row r="54" spans="1:13" ht="15" customHeight="1" x14ac:dyDescent="0.35">
      <c r="A54" s="12"/>
      <c r="B54" s="12"/>
      <c r="C54" s="12"/>
      <c r="D54" s="12"/>
      <c r="E54" s="12"/>
      <c r="F54" s="12"/>
      <c r="G54" s="12"/>
      <c r="H54" s="12"/>
      <c r="I54" s="12"/>
      <c r="J54" s="12"/>
      <c r="K54" s="12"/>
      <c r="L54" s="12"/>
      <c r="M54" s="12"/>
    </row>
    <row r="55" spans="1:13" ht="15" customHeight="1" x14ac:dyDescent="0.35">
      <c r="A55" s="12"/>
      <c r="B55" s="12"/>
      <c r="C55" s="12"/>
      <c r="D55" s="12"/>
      <c r="E55" s="12"/>
      <c r="F55" s="12"/>
      <c r="G55" s="12"/>
      <c r="H55" s="12"/>
      <c r="I55" s="12"/>
      <c r="J55" s="12"/>
      <c r="K55" s="12"/>
      <c r="L55" s="12"/>
      <c r="M55" s="12"/>
    </row>
    <row r="56" spans="1:13" ht="15" customHeight="1" x14ac:dyDescent="0.35">
      <c r="A56" s="12"/>
      <c r="B56" s="12"/>
      <c r="C56" s="12"/>
      <c r="D56" s="12"/>
      <c r="E56" s="12"/>
      <c r="F56" s="12"/>
      <c r="G56" s="12"/>
      <c r="H56" s="12"/>
      <c r="I56" s="12"/>
      <c r="J56" s="12"/>
      <c r="K56" s="12"/>
      <c r="L56" s="12"/>
      <c r="M56" s="12"/>
    </row>
    <row r="57" spans="1:13" ht="15" customHeight="1" x14ac:dyDescent="0.35">
      <c r="A57" s="12"/>
      <c r="B57" s="12"/>
      <c r="C57" s="12"/>
      <c r="D57" s="12"/>
      <c r="E57" s="12"/>
      <c r="F57" s="12"/>
      <c r="G57" s="12"/>
      <c r="H57" s="12"/>
      <c r="I57" s="12"/>
      <c r="J57" s="12"/>
      <c r="K57" s="12"/>
      <c r="L57" s="12"/>
      <c r="M57" s="12"/>
    </row>
    <row r="58" spans="1:13" ht="15" customHeight="1" x14ac:dyDescent="0.35">
      <c r="A58" s="12"/>
      <c r="B58" s="12"/>
      <c r="C58" s="12"/>
      <c r="D58" s="12"/>
      <c r="E58" s="12"/>
      <c r="F58" s="12"/>
      <c r="G58" s="12"/>
      <c r="H58" s="12"/>
      <c r="I58" s="12"/>
      <c r="J58" s="12"/>
      <c r="K58" s="12"/>
      <c r="L58" s="12"/>
      <c r="M58" s="12"/>
    </row>
    <row r="59" spans="1:13" ht="15" customHeight="1" x14ac:dyDescent="0.35">
      <c r="A59" s="12"/>
      <c r="B59" s="12"/>
      <c r="C59" s="12"/>
      <c r="D59" s="12"/>
      <c r="E59" s="12"/>
      <c r="F59" s="12"/>
      <c r="G59" s="12"/>
      <c r="H59" s="12"/>
      <c r="I59" s="12"/>
      <c r="J59" s="12"/>
      <c r="K59" s="12"/>
      <c r="L59" s="12"/>
      <c r="M59" s="12"/>
    </row>
    <row r="60" spans="1:13" ht="15" customHeight="1" x14ac:dyDescent="0.35">
      <c r="A60" s="12"/>
      <c r="B60" s="12"/>
      <c r="C60" s="12"/>
      <c r="D60" s="12"/>
      <c r="E60" s="12"/>
      <c r="F60" s="12"/>
      <c r="G60" s="12"/>
      <c r="H60" s="12"/>
      <c r="I60" s="12"/>
      <c r="J60" s="12"/>
      <c r="K60" s="12"/>
      <c r="L60" s="12"/>
      <c r="M60" s="12"/>
    </row>
    <row r="61" spans="1:13" ht="15" customHeight="1" x14ac:dyDescent="0.35">
      <c r="A61" s="12"/>
      <c r="B61" s="12"/>
      <c r="C61" s="12"/>
      <c r="D61" s="12"/>
      <c r="E61" s="12"/>
      <c r="F61" s="12"/>
      <c r="G61" s="12"/>
      <c r="H61" s="12"/>
      <c r="I61" s="12"/>
      <c r="J61" s="12"/>
      <c r="K61" s="12"/>
      <c r="L61" s="12"/>
      <c r="M61" s="12"/>
    </row>
    <row r="62" spans="1:13" ht="15" customHeight="1" x14ac:dyDescent="0.35">
      <c r="A62" s="12"/>
      <c r="B62" s="12"/>
      <c r="C62" s="12"/>
      <c r="D62" s="12"/>
      <c r="E62" s="12"/>
      <c r="F62" s="12"/>
      <c r="G62" s="12"/>
      <c r="H62" s="12"/>
      <c r="I62" s="12"/>
      <c r="J62" s="12"/>
      <c r="K62" s="12"/>
      <c r="L62" s="12"/>
      <c r="M62" s="12"/>
    </row>
    <row r="63" spans="1:13" ht="15" customHeight="1" x14ac:dyDescent="0.35">
      <c r="A63" s="12"/>
      <c r="B63" s="12"/>
      <c r="C63" s="12"/>
      <c r="D63" s="12"/>
      <c r="E63" s="12"/>
      <c r="F63" s="12"/>
      <c r="G63" s="12"/>
      <c r="H63" s="12"/>
      <c r="I63" s="12"/>
      <c r="J63" s="12"/>
      <c r="K63" s="12"/>
      <c r="L63" s="12"/>
      <c r="M63" s="12"/>
    </row>
    <row r="64" spans="1:13" ht="15" customHeight="1" x14ac:dyDescent="0.35">
      <c r="A64" s="12"/>
      <c r="B64" s="12"/>
      <c r="C64" s="12"/>
      <c r="D64" s="12"/>
      <c r="E64" s="12"/>
      <c r="F64" s="12"/>
      <c r="G64" s="12"/>
      <c r="H64" s="12"/>
      <c r="I64" s="12"/>
      <c r="J64" s="12"/>
      <c r="K64" s="12"/>
      <c r="L64" s="12"/>
      <c r="M64" s="12"/>
    </row>
    <row r="65" spans="1:13" ht="15" customHeight="1" x14ac:dyDescent="0.35">
      <c r="A65" s="12"/>
      <c r="B65" s="12"/>
      <c r="C65" s="12"/>
      <c r="D65" s="12"/>
      <c r="E65" s="12"/>
      <c r="F65" s="12"/>
      <c r="G65" s="12"/>
      <c r="H65" s="12"/>
      <c r="I65" s="12"/>
      <c r="J65" s="12"/>
      <c r="K65" s="12"/>
      <c r="L65" s="12"/>
      <c r="M65" s="12"/>
    </row>
    <row r="66" spans="1:13" ht="15" customHeight="1" x14ac:dyDescent="0.35">
      <c r="A66" s="12"/>
      <c r="B66" s="12"/>
      <c r="C66" s="12"/>
      <c r="D66" s="12"/>
      <c r="E66" s="12"/>
      <c r="F66" s="12"/>
      <c r="G66" s="12"/>
      <c r="H66" s="12"/>
      <c r="I66" s="12"/>
      <c r="J66" s="12"/>
      <c r="K66" s="12"/>
      <c r="L66" s="12"/>
      <c r="M66" s="12"/>
    </row>
    <row r="67" spans="1:13" ht="15" customHeight="1" x14ac:dyDescent="0.35">
      <c r="A67" s="12"/>
      <c r="B67" s="12"/>
      <c r="C67" s="12"/>
      <c r="D67" s="12"/>
      <c r="E67" s="12"/>
      <c r="F67" s="12"/>
      <c r="G67" s="12"/>
      <c r="H67" s="12"/>
      <c r="I67" s="12"/>
      <c r="J67" s="12"/>
      <c r="K67" s="12"/>
      <c r="L67" s="12"/>
      <c r="M67" s="12"/>
    </row>
    <row r="68" spans="1:13" ht="15" customHeight="1" x14ac:dyDescent="0.35">
      <c r="A68" s="12"/>
      <c r="B68" s="12"/>
      <c r="C68" s="12"/>
      <c r="D68" s="12"/>
      <c r="E68" s="12"/>
      <c r="F68" s="12"/>
      <c r="G68" s="12"/>
      <c r="H68" s="12"/>
      <c r="I68" s="12"/>
      <c r="J68" s="12"/>
      <c r="K68" s="12"/>
      <c r="L68" s="12"/>
      <c r="M68" s="12"/>
    </row>
    <row r="69" spans="1:13" ht="15" customHeight="1" x14ac:dyDescent="0.35">
      <c r="A69" s="12"/>
      <c r="B69" s="12"/>
      <c r="C69" s="12"/>
      <c r="D69" s="12"/>
      <c r="E69" s="12"/>
      <c r="F69" s="12"/>
      <c r="G69" s="12"/>
      <c r="H69" s="12"/>
      <c r="I69" s="12"/>
      <c r="J69" s="12"/>
      <c r="K69" s="12"/>
      <c r="L69" s="12"/>
      <c r="M69" s="12"/>
    </row>
    <row r="70" spans="1:13" ht="15" customHeight="1" x14ac:dyDescent="0.35">
      <c r="A70" s="12"/>
      <c r="B70" s="12"/>
      <c r="C70" s="12"/>
      <c r="D70" s="12"/>
      <c r="E70" s="12"/>
      <c r="F70" s="12"/>
      <c r="G70" s="12"/>
      <c r="H70" s="12"/>
      <c r="I70" s="12"/>
      <c r="J70" s="12"/>
      <c r="K70" s="12"/>
      <c r="L70" s="12"/>
      <c r="M70" s="12"/>
    </row>
    <row r="71" spans="1:13" ht="15" customHeight="1" x14ac:dyDescent="0.35">
      <c r="A71" s="12"/>
      <c r="B71" s="12"/>
      <c r="C71" s="12"/>
      <c r="D71" s="12"/>
      <c r="E71" s="12"/>
      <c r="F71" s="12"/>
      <c r="G71" s="12"/>
      <c r="H71" s="12"/>
      <c r="I71" s="12"/>
      <c r="J71" s="12"/>
      <c r="K71" s="12"/>
      <c r="L71" s="12"/>
      <c r="M71" s="12"/>
    </row>
    <row r="72" spans="1:13" ht="15" customHeight="1" x14ac:dyDescent="0.35">
      <c r="A72" s="12"/>
      <c r="B72" s="12"/>
      <c r="C72" s="12"/>
      <c r="D72" s="12"/>
      <c r="E72" s="12"/>
      <c r="F72" s="12"/>
      <c r="G72" s="12"/>
      <c r="H72" s="12"/>
      <c r="I72" s="12"/>
      <c r="J72" s="12"/>
      <c r="K72" s="12"/>
      <c r="L72" s="12"/>
      <c r="M72" s="12"/>
    </row>
    <row r="73" spans="1:13" ht="15" customHeight="1" x14ac:dyDescent="0.35">
      <c r="A73" s="12"/>
      <c r="B73" s="12"/>
      <c r="C73" s="12"/>
      <c r="D73" s="12"/>
      <c r="E73" s="12"/>
      <c r="F73" s="12"/>
      <c r="G73" s="12"/>
      <c r="H73" s="12"/>
      <c r="I73" s="12"/>
      <c r="J73" s="12"/>
      <c r="K73" s="12"/>
      <c r="L73" s="12"/>
      <c r="M73" s="12"/>
    </row>
    <row r="74" spans="1:13" ht="15" customHeight="1" x14ac:dyDescent="0.35">
      <c r="A74" s="12"/>
      <c r="B74" s="12"/>
      <c r="C74" s="12"/>
      <c r="D74" s="12"/>
      <c r="E74" s="12"/>
      <c r="F74" s="12"/>
      <c r="G74" s="12"/>
      <c r="H74" s="12"/>
      <c r="I74" s="12"/>
      <c r="J74" s="12"/>
      <c r="K74" s="12"/>
      <c r="L74" s="12"/>
      <c r="M74" s="12"/>
    </row>
    <row r="75" spans="1:13" ht="15" customHeight="1" x14ac:dyDescent="0.35">
      <c r="A75" s="12"/>
      <c r="B75" s="12"/>
      <c r="C75" s="12"/>
      <c r="D75" s="12"/>
      <c r="E75" s="12"/>
      <c r="F75" s="12"/>
      <c r="G75" s="12"/>
      <c r="H75" s="12"/>
      <c r="I75" s="12"/>
      <c r="J75" s="12"/>
      <c r="K75" s="12"/>
      <c r="L75" s="12"/>
      <c r="M75" s="12"/>
    </row>
    <row r="76" spans="1:13" ht="15" customHeight="1" x14ac:dyDescent="0.35">
      <c r="A76" s="12"/>
      <c r="B76" s="12"/>
      <c r="C76" s="12"/>
      <c r="D76" s="12"/>
      <c r="E76" s="12"/>
      <c r="F76" s="12"/>
      <c r="G76" s="12"/>
      <c r="H76" s="12"/>
      <c r="I76" s="12"/>
      <c r="J76" s="12"/>
      <c r="K76" s="12"/>
      <c r="L76" s="12"/>
      <c r="M76" s="12"/>
    </row>
    <row r="77" spans="1:13" ht="15" customHeight="1" x14ac:dyDescent="0.35">
      <c r="A77" s="12"/>
      <c r="B77" s="12"/>
      <c r="C77" s="12"/>
      <c r="D77" s="12"/>
      <c r="E77" s="12"/>
      <c r="F77" s="12"/>
      <c r="G77" s="12"/>
      <c r="H77" s="12"/>
      <c r="I77" s="12"/>
      <c r="J77" s="12"/>
      <c r="K77" s="12"/>
      <c r="L77" s="12"/>
      <c r="M77" s="12"/>
    </row>
    <row r="78" spans="1:13" ht="15" customHeight="1" x14ac:dyDescent="0.35">
      <c r="A78" s="12"/>
      <c r="B78" s="12"/>
      <c r="C78" s="12"/>
      <c r="D78" s="12"/>
      <c r="E78" s="12"/>
      <c r="F78" s="12"/>
      <c r="G78" s="12"/>
      <c r="H78" s="12"/>
      <c r="I78" s="12"/>
      <c r="J78" s="12"/>
      <c r="K78" s="12"/>
      <c r="L78" s="12"/>
      <c r="M78" s="12"/>
    </row>
    <row r="79" spans="1:13" ht="15" customHeight="1" x14ac:dyDescent="0.35">
      <c r="A79" s="12"/>
      <c r="B79" s="12"/>
      <c r="C79" s="12"/>
      <c r="D79" s="12"/>
      <c r="E79" s="12"/>
      <c r="F79" s="12"/>
      <c r="G79" s="12"/>
      <c r="H79" s="12"/>
      <c r="I79" s="12"/>
      <c r="J79" s="12"/>
      <c r="K79" s="12"/>
      <c r="L79" s="12"/>
      <c r="M79" s="12"/>
    </row>
    <row r="80" spans="1:13" ht="15" customHeight="1" x14ac:dyDescent="0.35">
      <c r="A80" s="12"/>
      <c r="B80" s="12"/>
      <c r="C80" s="12"/>
      <c r="D80" s="12"/>
      <c r="E80" s="12"/>
      <c r="F80" s="12"/>
      <c r="G80" s="12"/>
      <c r="H80" s="12"/>
      <c r="I80" s="12"/>
      <c r="J80" s="12"/>
      <c r="K80" s="12"/>
      <c r="L80" s="12"/>
      <c r="M80" s="12"/>
    </row>
    <row r="81" spans="1:13" ht="15" customHeight="1" x14ac:dyDescent="0.35">
      <c r="A81" s="12"/>
      <c r="B81" s="12"/>
      <c r="C81" s="12"/>
      <c r="D81" s="12"/>
      <c r="E81" s="12"/>
      <c r="F81" s="12"/>
      <c r="G81" s="12"/>
      <c r="H81" s="12"/>
      <c r="I81" s="12"/>
      <c r="J81" s="12"/>
      <c r="K81" s="12"/>
      <c r="L81" s="12"/>
      <c r="M81" s="12"/>
    </row>
    <row r="82" spans="1:13" ht="15" customHeight="1" x14ac:dyDescent="0.35">
      <c r="A82" s="12"/>
      <c r="B82" s="12"/>
      <c r="C82" s="12"/>
      <c r="D82" s="12"/>
      <c r="E82" s="12"/>
      <c r="F82" s="12"/>
      <c r="G82" s="12"/>
      <c r="H82" s="12"/>
      <c r="I82" s="12"/>
      <c r="J82" s="12"/>
      <c r="K82" s="12"/>
      <c r="L82" s="12"/>
      <c r="M82" s="12"/>
    </row>
    <row r="83" spans="1:13" ht="15" customHeight="1" x14ac:dyDescent="0.35">
      <c r="A83" s="12"/>
      <c r="B83" s="12"/>
      <c r="C83" s="12"/>
      <c r="D83" s="12"/>
      <c r="E83" s="12"/>
      <c r="F83" s="12"/>
      <c r="G83" s="12"/>
      <c r="H83" s="12"/>
      <c r="I83" s="12"/>
      <c r="J83" s="12"/>
      <c r="K83" s="12"/>
      <c r="L83" s="12"/>
      <c r="M83" s="12"/>
    </row>
    <row r="84" spans="1:13" ht="15" customHeight="1" x14ac:dyDescent="0.35">
      <c r="A84" s="12"/>
      <c r="B84" s="12"/>
      <c r="C84" s="12"/>
      <c r="D84" s="12"/>
      <c r="E84" s="12"/>
      <c r="F84" s="12"/>
      <c r="G84" s="12"/>
      <c r="H84" s="12"/>
      <c r="I84" s="12"/>
      <c r="J84" s="12"/>
      <c r="K84" s="12"/>
      <c r="L84" s="12"/>
      <c r="M84" s="12"/>
    </row>
    <row r="85" spans="1:13" ht="15" customHeight="1" x14ac:dyDescent="0.35">
      <c r="A85" s="12"/>
      <c r="B85" s="12"/>
      <c r="C85" s="12"/>
      <c r="D85" s="12"/>
      <c r="E85" s="12"/>
      <c r="F85" s="12"/>
      <c r="G85" s="12"/>
      <c r="H85" s="12"/>
      <c r="I85" s="12"/>
      <c r="J85" s="12"/>
      <c r="K85" s="12"/>
      <c r="L85" s="12"/>
      <c r="M85" s="12"/>
    </row>
    <row r="86" spans="1:13" ht="15" customHeight="1" x14ac:dyDescent="0.35">
      <c r="A86" s="12"/>
      <c r="B86" s="12"/>
      <c r="C86" s="12"/>
      <c r="D86" s="12"/>
      <c r="E86" s="12"/>
      <c r="F86" s="12"/>
      <c r="G86" s="12"/>
      <c r="H86" s="12"/>
      <c r="I86" s="12"/>
      <c r="J86" s="12"/>
      <c r="K86" s="12"/>
      <c r="L86" s="12"/>
      <c r="M86" s="12"/>
    </row>
    <row r="87" spans="1:13" ht="15" customHeight="1" x14ac:dyDescent="0.35">
      <c r="A87" s="12"/>
      <c r="B87" s="12"/>
      <c r="C87" s="12"/>
      <c r="D87" s="12"/>
      <c r="E87" s="12"/>
      <c r="F87" s="12"/>
      <c r="G87" s="12"/>
      <c r="H87" s="12"/>
      <c r="I87" s="12"/>
      <c r="J87" s="12"/>
      <c r="K87" s="12"/>
      <c r="L87" s="12"/>
      <c r="M87" s="12"/>
    </row>
    <row r="88" spans="1:13" ht="15" customHeight="1" x14ac:dyDescent="0.35">
      <c r="A88" s="12"/>
      <c r="B88" s="12"/>
      <c r="C88" s="12"/>
      <c r="D88" s="12"/>
      <c r="E88" s="12"/>
      <c r="F88" s="12"/>
      <c r="G88" s="12"/>
      <c r="H88" s="12"/>
      <c r="I88" s="12"/>
      <c r="J88" s="12"/>
      <c r="K88" s="12"/>
      <c r="L88" s="12"/>
      <c r="M88" s="12"/>
    </row>
    <row r="89" spans="1:13" ht="15" customHeight="1" x14ac:dyDescent="0.35">
      <c r="A89" s="12"/>
      <c r="B89" s="12"/>
      <c r="C89" s="12"/>
      <c r="D89" s="12"/>
      <c r="E89" s="12"/>
      <c r="F89" s="12"/>
      <c r="G89" s="12"/>
      <c r="H89" s="12"/>
      <c r="I89" s="12"/>
      <c r="J89" s="12"/>
      <c r="K89" s="12"/>
      <c r="L89" s="12"/>
      <c r="M89" s="12"/>
    </row>
    <row r="90" spans="1:13" ht="15" customHeight="1" x14ac:dyDescent="0.35">
      <c r="A90" s="12"/>
      <c r="B90" s="12"/>
      <c r="C90" s="12"/>
      <c r="D90" s="12"/>
      <c r="E90" s="12"/>
      <c r="F90" s="12"/>
      <c r="G90" s="12"/>
      <c r="H90" s="12"/>
      <c r="I90" s="12"/>
      <c r="J90" s="12"/>
      <c r="K90" s="12"/>
      <c r="L90" s="12"/>
      <c r="M90" s="12"/>
    </row>
    <row r="91" spans="1:13" ht="15" customHeight="1" x14ac:dyDescent="0.35">
      <c r="A91" s="12"/>
      <c r="B91" s="12"/>
      <c r="C91" s="12"/>
      <c r="D91" s="12"/>
      <c r="E91" s="12"/>
      <c r="F91" s="12"/>
      <c r="G91" s="12"/>
      <c r="H91" s="12"/>
      <c r="I91" s="12"/>
      <c r="J91" s="12"/>
      <c r="K91" s="12"/>
      <c r="L91" s="12"/>
      <c r="M91" s="12"/>
    </row>
    <row r="92" spans="1:13" ht="15" customHeight="1" x14ac:dyDescent="0.35">
      <c r="A92" s="12"/>
      <c r="B92" s="12"/>
      <c r="C92" s="12"/>
      <c r="D92" s="12"/>
      <c r="E92" s="12"/>
      <c r="F92" s="12"/>
      <c r="G92" s="12"/>
      <c r="H92" s="12"/>
      <c r="I92" s="12"/>
      <c r="J92" s="12"/>
      <c r="K92" s="12"/>
      <c r="L92" s="12"/>
      <c r="M92" s="12"/>
    </row>
    <row r="93" spans="1:13" ht="15" customHeight="1" x14ac:dyDescent="0.35">
      <c r="A93" s="12"/>
      <c r="B93" s="12"/>
      <c r="C93" s="12"/>
      <c r="D93" s="12"/>
      <c r="E93" s="12"/>
      <c r="F93" s="12"/>
      <c r="G93" s="12"/>
      <c r="H93" s="12"/>
      <c r="I93" s="12"/>
      <c r="J93" s="12"/>
      <c r="K93" s="12"/>
      <c r="L93" s="12"/>
      <c r="M93" s="12"/>
    </row>
    <row r="94" spans="1:13" ht="15" customHeight="1" x14ac:dyDescent="0.35">
      <c r="A94" s="12"/>
      <c r="B94" s="12"/>
      <c r="C94" s="12"/>
      <c r="D94" s="12"/>
      <c r="E94" s="12"/>
      <c r="F94" s="12"/>
      <c r="G94" s="12"/>
      <c r="H94" s="12"/>
      <c r="I94" s="12"/>
      <c r="J94" s="12"/>
      <c r="K94" s="12"/>
      <c r="L94" s="12"/>
      <c r="M94" s="12"/>
    </row>
    <row r="95" spans="1:13" ht="15" customHeight="1" x14ac:dyDescent="0.35">
      <c r="A95" s="12"/>
      <c r="B95" s="12"/>
      <c r="C95" s="12"/>
      <c r="D95" s="12"/>
      <c r="E95" s="12"/>
      <c r="F95" s="12"/>
      <c r="G95" s="12"/>
      <c r="H95" s="12"/>
      <c r="I95" s="12"/>
      <c r="J95" s="12"/>
      <c r="K95" s="12"/>
      <c r="L95" s="12"/>
      <c r="M95" s="12"/>
    </row>
    <row r="96" spans="1:13" ht="15" customHeight="1" x14ac:dyDescent="0.35">
      <c r="A96" s="12"/>
      <c r="B96" s="12"/>
      <c r="C96" s="12"/>
      <c r="D96" s="12"/>
      <c r="E96" s="12"/>
      <c r="F96" s="12"/>
      <c r="G96" s="12"/>
      <c r="H96" s="12"/>
      <c r="I96" s="12"/>
      <c r="J96" s="12"/>
      <c r="K96" s="12"/>
      <c r="L96" s="12"/>
      <c r="M96" s="12"/>
    </row>
    <row r="97" spans="1:13" ht="15" customHeight="1" x14ac:dyDescent="0.35">
      <c r="A97" s="12"/>
      <c r="B97" s="12"/>
      <c r="C97" s="12"/>
      <c r="D97" s="12"/>
      <c r="E97" s="12"/>
      <c r="F97" s="12"/>
      <c r="G97" s="12"/>
      <c r="H97" s="12"/>
      <c r="I97" s="12"/>
      <c r="J97" s="12"/>
      <c r="K97" s="12"/>
      <c r="L97" s="12"/>
      <c r="M97" s="12"/>
    </row>
    <row r="98" spans="1:13" ht="15" customHeight="1" x14ac:dyDescent="0.35">
      <c r="A98" s="12"/>
      <c r="B98" s="12"/>
      <c r="C98" s="12"/>
      <c r="D98" s="12"/>
      <c r="E98" s="12"/>
      <c r="F98" s="12"/>
      <c r="G98" s="12"/>
      <c r="H98" s="12"/>
      <c r="I98" s="12"/>
      <c r="J98" s="12"/>
      <c r="K98" s="12"/>
      <c r="L98" s="12"/>
      <c r="M98" s="12"/>
    </row>
    <row r="99" spans="1:13" ht="15" customHeight="1" x14ac:dyDescent="0.35">
      <c r="A99" s="12"/>
      <c r="B99" s="12"/>
      <c r="C99" s="12"/>
      <c r="D99" s="12"/>
      <c r="E99" s="12"/>
      <c r="F99" s="12"/>
      <c r="G99" s="12"/>
      <c r="H99" s="12"/>
      <c r="I99" s="12"/>
      <c r="J99" s="12"/>
      <c r="K99" s="12"/>
      <c r="L99" s="12"/>
      <c r="M99" s="12"/>
    </row>
    <row r="100" spans="1:13" ht="15" customHeight="1" x14ac:dyDescent="0.35">
      <c r="A100" s="12"/>
      <c r="B100" s="12"/>
      <c r="C100" s="12"/>
      <c r="D100" s="12"/>
      <c r="E100" s="12"/>
      <c r="F100" s="12"/>
      <c r="G100" s="12"/>
      <c r="H100" s="12"/>
      <c r="I100" s="12"/>
      <c r="J100" s="12"/>
      <c r="K100" s="12"/>
      <c r="L100" s="12"/>
      <c r="M100" s="12"/>
    </row>
    <row r="101" spans="1:13" ht="15" customHeight="1" x14ac:dyDescent="0.35">
      <c r="A101" s="12"/>
      <c r="B101" s="12"/>
      <c r="C101" s="12"/>
      <c r="D101" s="12"/>
      <c r="E101" s="12"/>
      <c r="F101" s="12"/>
      <c r="G101" s="12"/>
      <c r="H101" s="12"/>
      <c r="I101" s="12"/>
      <c r="J101" s="12"/>
      <c r="K101" s="12"/>
      <c r="L101" s="12"/>
      <c r="M101" s="12"/>
    </row>
    <row r="102" spans="1:13" ht="15" customHeight="1" x14ac:dyDescent="0.35">
      <c r="A102" s="12"/>
      <c r="B102" s="12"/>
      <c r="C102" s="12"/>
      <c r="D102" s="12"/>
      <c r="E102" s="12"/>
      <c r="F102" s="12"/>
      <c r="G102" s="12"/>
      <c r="H102" s="12"/>
      <c r="I102" s="12"/>
      <c r="J102" s="12"/>
      <c r="K102" s="12"/>
      <c r="L102" s="12"/>
      <c r="M102" s="12"/>
    </row>
    <row r="103" spans="1:13" ht="15" customHeight="1" x14ac:dyDescent="0.35">
      <c r="A103" s="12"/>
      <c r="B103" s="12"/>
      <c r="C103" s="12"/>
      <c r="D103" s="12"/>
      <c r="E103" s="12"/>
      <c r="F103" s="12"/>
      <c r="G103" s="12"/>
      <c r="H103" s="12"/>
      <c r="I103" s="12"/>
      <c r="J103" s="12"/>
      <c r="K103" s="12"/>
      <c r="L103" s="12"/>
      <c r="M103" s="12"/>
    </row>
    <row r="104" spans="1:13" ht="15" customHeight="1" x14ac:dyDescent="0.35">
      <c r="A104" s="12"/>
      <c r="B104" s="12"/>
      <c r="C104" s="12"/>
      <c r="D104" s="12"/>
      <c r="E104" s="12"/>
      <c r="F104" s="12"/>
      <c r="G104" s="12"/>
      <c r="H104" s="12"/>
      <c r="I104" s="12"/>
      <c r="J104" s="12"/>
      <c r="K104" s="12"/>
      <c r="L104" s="12"/>
      <c r="M104" s="12"/>
    </row>
    <row r="105" spans="1:13" ht="15" customHeight="1" x14ac:dyDescent="0.35">
      <c r="A105" s="12"/>
      <c r="B105" s="12"/>
      <c r="C105" s="12"/>
      <c r="D105" s="12"/>
      <c r="E105" s="12"/>
      <c r="F105" s="12"/>
      <c r="G105" s="12"/>
      <c r="H105" s="12"/>
      <c r="I105" s="12"/>
      <c r="J105" s="12"/>
      <c r="K105" s="12"/>
      <c r="L105" s="12"/>
      <c r="M105" s="12"/>
    </row>
    <row r="106" spans="1:13" ht="15" customHeight="1" x14ac:dyDescent="0.35">
      <c r="A106" s="12"/>
      <c r="B106" s="12"/>
      <c r="C106" s="12"/>
      <c r="D106" s="12"/>
      <c r="E106" s="12"/>
      <c r="F106" s="12"/>
      <c r="G106" s="12"/>
      <c r="H106" s="12"/>
      <c r="I106" s="12"/>
      <c r="J106" s="12"/>
      <c r="K106" s="12"/>
      <c r="L106" s="12"/>
      <c r="M106" s="12"/>
    </row>
    <row r="107" spans="1:13" ht="15" customHeight="1" x14ac:dyDescent="0.35">
      <c r="A107" s="12"/>
      <c r="B107" s="12"/>
      <c r="C107" s="12"/>
      <c r="D107" s="12"/>
      <c r="E107" s="12"/>
      <c r="F107" s="12"/>
      <c r="G107" s="12"/>
      <c r="H107" s="12"/>
      <c r="I107" s="12"/>
      <c r="J107" s="12"/>
      <c r="K107" s="12"/>
      <c r="L107" s="12"/>
      <c r="M107" s="12"/>
    </row>
    <row r="108" spans="1:13" ht="15" customHeight="1" x14ac:dyDescent="0.35">
      <c r="A108" s="12"/>
      <c r="B108" s="12"/>
      <c r="C108" s="12"/>
      <c r="D108" s="12"/>
      <c r="E108" s="12"/>
      <c r="F108" s="12"/>
      <c r="G108" s="12"/>
      <c r="H108" s="12"/>
      <c r="I108" s="12"/>
      <c r="J108" s="12"/>
      <c r="K108" s="12"/>
      <c r="L108" s="12"/>
      <c r="M108" s="12"/>
    </row>
    <row r="109" spans="1:13" ht="15" customHeight="1" x14ac:dyDescent="0.35">
      <c r="A109" s="12"/>
      <c r="B109" s="12"/>
      <c r="C109" s="12"/>
      <c r="D109" s="12"/>
      <c r="E109" s="12"/>
      <c r="F109" s="12"/>
      <c r="G109" s="12"/>
      <c r="H109" s="12"/>
      <c r="I109" s="12"/>
      <c r="J109" s="12"/>
      <c r="K109" s="12"/>
      <c r="L109" s="12"/>
      <c r="M109" s="12"/>
    </row>
    <row r="110" spans="1:13" ht="15" customHeight="1" x14ac:dyDescent="0.35">
      <c r="A110" s="12"/>
      <c r="B110" s="12"/>
      <c r="C110" s="12"/>
      <c r="D110" s="12"/>
      <c r="E110" s="12"/>
      <c r="F110" s="12"/>
      <c r="G110" s="12"/>
      <c r="H110" s="12"/>
      <c r="I110" s="12"/>
      <c r="J110" s="12"/>
      <c r="K110" s="12"/>
      <c r="L110" s="12"/>
      <c r="M110" s="12"/>
    </row>
    <row r="111" spans="1:13" ht="15" customHeight="1" x14ac:dyDescent="0.35">
      <c r="A111" s="12"/>
      <c r="B111" s="12"/>
      <c r="C111" s="12"/>
      <c r="D111" s="12"/>
      <c r="E111" s="12"/>
      <c r="F111" s="12"/>
      <c r="G111" s="12"/>
      <c r="H111" s="12"/>
      <c r="I111" s="12"/>
      <c r="J111" s="12"/>
      <c r="K111" s="12"/>
      <c r="L111" s="12"/>
      <c r="M111" s="12"/>
    </row>
    <row r="112" spans="1:13" ht="15" customHeight="1" x14ac:dyDescent="0.35">
      <c r="A112" s="12"/>
      <c r="B112" s="12"/>
      <c r="C112" s="12"/>
      <c r="D112" s="12"/>
      <c r="E112" s="12"/>
      <c r="F112" s="12"/>
      <c r="G112" s="12"/>
      <c r="H112" s="12"/>
      <c r="I112" s="12"/>
      <c r="J112" s="12"/>
      <c r="K112" s="12"/>
      <c r="L112" s="12"/>
      <c r="M112" s="12"/>
    </row>
    <row r="113" spans="1:13" ht="15" customHeight="1" x14ac:dyDescent="0.35">
      <c r="A113" s="12"/>
      <c r="B113" s="12"/>
      <c r="C113" s="12"/>
      <c r="D113" s="12"/>
      <c r="E113" s="12"/>
      <c r="F113" s="12"/>
      <c r="G113" s="12"/>
      <c r="H113" s="12"/>
      <c r="I113" s="12"/>
      <c r="J113" s="12"/>
      <c r="K113" s="12"/>
      <c r="L113" s="12"/>
      <c r="M113" s="12"/>
    </row>
    <row r="114" spans="1:13" ht="15" customHeight="1" x14ac:dyDescent="0.35">
      <c r="A114" s="12"/>
      <c r="B114" s="12"/>
      <c r="C114" s="12"/>
      <c r="D114" s="12"/>
      <c r="E114" s="12"/>
      <c r="F114" s="12"/>
      <c r="G114" s="12"/>
      <c r="H114" s="12"/>
      <c r="I114" s="12"/>
      <c r="J114" s="12"/>
      <c r="K114" s="12"/>
      <c r="L114" s="12"/>
      <c r="M114" s="12"/>
    </row>
    <row r="115" spans="1:13" ht="15" customHeight="1" x14ac:dyDescent="0.35">
      <c r="A115" s="12"/>
      <c r="B115" s="12"/>
      <c r="C115" s="12"/>
      <c r="D115" s="12"/>
      <c r="E115" s="12"/>
      <c r="F115" s="12"/>
      <c r="G115" s="12"/>
      <c r="H115" s="12"/>
      <c r="I115" s="12"/>
      <c r="J115" s="12"/>
      <c r="K115" s="12"/>
      <c r="L115" s="12"/>
      <c r="M115" s="12"/>
    </row>
    <row r="116" spans="1:13" ht="15" customHeight="1" x14ac:dyDescent="0.35">
      <c r="A116" s="12"/>
      <c r="B116" s="12"/>
      <c r="C116" s="12"/>
      <c r="D116" s="12"/>
      <c r="E116" s="12"/>
      <c r="F116" s="12"/>
      <c r="G116" s="12"/>
      <c r="H116" s="12"/>
      <c r="I116" s="12"/>
      <c r="J116" s="12"/>
      <c r="K116" s="12"/>
      <c r="L116" s="12"/>
      <c r="M116" s="12"/>
    </row>
    <row r="117" spans="1:13" ht="15" customHeight="1" x14ac:dyDescent="0.35">
      <c r="A117" s="12"/>
      <c r="B117" s="12"/>
      <c r="C117" s="12"/>
      <c r="D117" s="12"/>
      <c r="E117" s="12"/>
      <c r="F117" s="12"/>
      <c r="G117" s="12"/>
      <c r="H117" s="12"/>
      <c r="I117" s="12"/>
      <c r="J117" s="12"/>
      <c r="K117" s="12"/>
      <c r="L117" s="12"/>
      <c r="M117" s="12"/>
    </row>
    <row r="118" spans="1:13" ht="15" customHeight="1" x14ac:dyDescent="0.35">
      <c r="A118" s="12"/>
      <c r="B118" s="12"/>
      <c r="C118" s="12"/>
      <c r="D118" s="12"/>
      <c r="E118" s="12"/>
      <c r="F118" s="12"/>
      <c r="G118" s="12"/>
      <c r="H118" s="12"/>
      <c r="I118" s="12"/>
      <c r="J118" s="12"/>
      <c r="K118" s="12"/>
      <c r="L118" s="12"/>
      <c r="M118" s="12"/>
    </row>
    <row r="119" spans="1:13" ht="15" customHeight="1" x14ac:dyDescent="0.35">
      <c r="A119" s="12"/>
      <c r="B119" s="12"/>
      <c r="C119" s="12"/>
      <c r="D119" s="12"/>
      <c r="E119" s="12"/>
      <c r="F119" s="12"/>
      <c r="G119" s="12"/>
      <c r="H119" s="12"/>
      <c r="I119" s="12"/>
      <c r="J119" s="12"/>
      <c r="K119" s="12"/>
      <c r="L119" s="12"/>
      <c r="M119" s="12"/>
    </row>
    <row r="120" spans="1:13" ht="15" customHeight="1" x14ac:dyDescent="0.35">
      <c r="A120" s="12"/>
      <c r="B120" s="12"/>
      <c r="C120" s="12"/>
      <c r="D120" s="12"/>
      <c r="E120" s="12"/>
      <c r="F120" s="12"/>
      <c r="G120" s="12"/>
      <c r="H120" s="12"/>
      <c r="I120" s="12"/>
      <c r="J120" s="12"/>
      <c r="K120" s="12"/>
      <c r="L120" s="12"/>
      <c r="M120" s="12"/>
    </row>
    <row r="121" spans="1:13" ht="15" customHeight="1" x14ac:dyDescent="0.35">
      <c r="A121" s="12"/>
      <c r="B121" s="12"/>
      <c r="C121" s="12"/>
      <c r="D121" s="12"/>
      <c r="E121" s="12"/>
      <c r="F121" s="12"/>
      <c r="G121" s="12"/>
      <c r="H121" s="12"/>
      <c r="I121" s="12"/>
      <c r="J121" s="12"/>
      <c r="K121" s="12"/>
      <c r="L121" s="12"/>
      <c r="M121" s="12"/>
    </row>
    <row r="122" spans="1:13" ht="15" customHeight="1" x14ac:dyDescent="0.35">
      <c r="A122" s="12"/>
      <c r="B122" s="12"/>
      <c r="C122" s="12"/>
      <c r="D122" s="12"/>
      <c r="E122" s="12"/>
      <c r="F122" s="12"/>
      <c r="G122" s="12"/>
      <c r="H122" s="12"/>
      <c r="I122" s="12"/>
      <c r="J122" s="12"/>
      <c r="K122" s="12"/>
      <c r="L122" s="12"/>
      <c r="M122" s="12"/>
    </row>
    <row r="123" spans="1:13" ht="15" customHeight="1" x14ac:dyDescent="0.35">
      <c r="A123" s="12"/>
      <c r="B123" s="12"/>
      <c r="C123" s="12"/>
      <c r="D123" s="12"/>
      <c r="E123" s="12"/>
      <c r="F123" s="12"/>
      <c r="G123" s="12"/>
      <c r="H123" s="12"/>
      <c r="I123" s="12"/>
      <c r="J123" s="12"/>
      <c r="K123" s="12"/>
      <c r="L123" s="12"/>
      <c r="M123" s="12"/>
    </row>
    <row r="124" spans="1:13" ht="15" customHeight="1" x14ac:dyDescent="0.35">
      <c r="A124" s="12"/>
      <c r="B124" s="12"/>
      <c r="C124" s="12"/>
      <c r="D124" s="12"/>
      <c r="E124" s="12"/>
      <c r="F124" s="12"/>
      <c r="G124" s="12"/>
      <c r="H124" s="12"/>
      <c r="I124" s="12"/>
      <c r="J124" s="12"/>
      <c r="K124" s="12"/>
      <c r="L124" s="12"/>
      <c r="M124" s="12"/>
    </row>
    <row r="125" spans="1:13" ht="15" customHeight="1" x14ac:dyDescent="0.35">
      <c r="A125" s="12"/>
      <c r="B125" s="12"/>
      <c r="C125" s="12"/>
      <c r="D125" s="12"/>
      <c r="E125" s="12"/>
      <c r="F125" s="12"/>
      <c r="G125" s="12"/>
      <c r="H125" s="12"/>
      <c r="I125" s="12"/>
      <c r="J125" s="12"/>
      <c r="K125" s="12"/>
      <c r="L125" s="12"/>
      <c r="M125" s="12"/>
    </row>
    <row r="126" spans="1:13" ht="15" customHeight="1" x14ac:dyDescent="0.35">
      <c r="A126" s="12"/>
      <c r="B126" s="12"/>
      <c r="C126" s="12"/>
      <c r="D126" s="12"/>
      <c r="E126" s="12"/>
      <c r="F126" s="12"/>
      <c r="G126" s="12"/>
      <c r="H126" s="12"/>
      <c r="I126" s="12"/>
      <c r="J126" s="12"/>
      <c r="K126" s="12"/>
      <c r="L126" s="12"/>
      <c r="M126" s="12"/>
    </row>
    <row r="127" spans="1:13" ht="15" customHeight="1" x14ac:dyDescent="0.35">
      <c r="A127" s="12"/>
      <c r="B127" s="12"/>
      <c r="C127" s="12"/>
      <c r="D127" s="12"/>
      <c r="E127" s="12"/>
      <c r="F127" s="12"/>
      <c r="G127" s="12"/>
      <c r="H127" s="12"/>
      <c r="I127" s="12"/>
      <c r="J127" s="12"/>
      <c r="K127" s="12"/>
      <c r="L127" s="12"/>
      <c r="M127" s="12"/>
    </row>
    <row r="128" spans="1:13" ht="15" customHeight="1" x14ac:dyDescent="0.35">
      <c r="A128" s="12"/>
      <c r="B128" s="12"/>
      <c r="C128" s="12"/>
      <c r="D128" s="12"/>
      <c r="E128" s="12"/>
      <c r="F128" s="12"/>
      <c r="G128" s="12"/>
      <c r="H128" s="12"/>
      <c r="I128" s="12"/>
      <c r="J128" s="12"/>
      <c r="K128" s="12"/>
      <c r="L128" s="12"/>
      <c r="M128" s="12"/>
    </row>
    <row r="129" spans="1:13" ht="15" customHeight="1" x14ac:dyDescent="0.35">
      <c r="A129" s="12"/>
      <c r="B129" s="12"/>
      <c r="C129" s="12"/>
      <c r="D129" s="12"/>
      <c r="E129" s="12"/>
      <c r="F129" s="12"/>
      <c r="G129" s="12"/>
      <c r="H129" s="12"/>
      <c r="I129" s="12"/>
      <c r="J129" s="12"/>
      <c r="K129" s="12"/>
      <c r="L129" s="12"/>
      <c r="M129" s="12"/>
    </row>
    <row r="130" spans="1:13" ht="15" customHeight="1" x14ac:dyDescent="0.35">
      <c r="A130" s="12"/>
      <c r="B130" s="12"/>
      <c r="C130" s="12"/>
      <c r="D130" s="12"/>
      <c r="E130" s="12"/>
      <c r="F130" s="12"/>
      <c r="G130" s="12"/>
      <c r="H130" s="12"/>
      <c r="I130" s="12"/>
      <c r="J130" s="12"/>
      <c r="K130" s="12"/>
      <c r="L130" s="12"/>
      <c r="M130" s="12"/>
    </row>
    <row r="131" spans="1:13" ht="15" customHeight="1" x14ac:dyDescent="0.35">
      <c r="A131" s="12"/>
      <c r="B131" s="12"/>
      <c r="C131" s="12"/>
      <c r="D131" s="12"/>
      <c r="E131" s="12"/>
      <c r="F131" s="12"/>
      <c r="G131" s="12"/>
      <c r="H131" s="12"/>
      <c r="I131" s="12"/>
      <c r="J131" s="12"/>
      <c r="K131" s="12"/>
      <c r="L131" s="12"/>
      <c r="M131" s="12"/>
    </row>
    <row r="132" spans="1:13" ht="15" customHeight="1" x14ac:dyDescent="0.35">
      <c r="A132" s="12"/>
      <c r="B132" s="12"/>
      <c r="C132" s="12"/>
      <c r="D132" s="12"/>
      <c r="E132" s="12"/>
      <c r="F132" s="12"/>
      <c r="G132" s="12"/>
      <c r="H132" s="12"/>
      <c r="I132" s="12"/>
      <c r="J132" s="12"/>
      <c r="K132" s="12"/>
      <c r="L132" s="12"/>
      <c r="M132" s="12"/>
    </row>
    <row r="133" spans="1:13" ht="15" customHeight="1" x14ac:dyDescent="0.35">
      <c r="A133" s="12"/>
      <c r="B133" s="12"/>
      <c r="C133" s="12"/>
      <c r="D133" s="12"/>
      <c r="E133" s="12"/>
      <c r="F133" s="12"/>
      <c r="G133" s="12"/>
      <c r="H133" s="12"/>
      <c r="I133" s="12"/>
      <c r="J133" s="12"/>
      <c r="K133" s="12"/>
      <c r="L133" s="12"/>
      <c r="M133" s="12"/>
    </row>
    <row r="134" spans="1:13" ht="15" customHeight="1" x14ac:dyDescent="0.35">
      <c r="A134" s="12"/>
      <c r="B134" s="12"/>
      <c r="C134" s="12"/>
      <c r="D134" s="12"/>
      <c r="E134" s="12"/>
      <c r="F134" s="12"/>
      <c r="G134" s="12"/>
      <c r="H134" s="12"/>
      <c r="I134" s="12"/>
      <c r="J134" s="12"/>
      <c r="K134" s="12"/>
      <c r="L134" s="12"/>
      <c r="M134" s="12"/>
    </row>
    <row r="135" spans="1:13" ht="15" customHeight="1" x14ac:dyDescent="0.35">
      <c r="A135" s="12"/>
      <c r="B135" s="12"/>
      <c r="C135" s="12"/>
      <c r="D135" s="12"/>
      <c r="E135" s="12"/>
      <c r="F135" s="12"/>
      <c r="G135" s="12"/>
      <c r="H135" s="12"/>
      <c r="I135" s="12"/>
      <c r="J135" s="12"/>
      <c r="K135" s="12"/>
      <c r="L135" s="12"/>
      <c r="M135" s="12"/>
    </row>
    <row r="136" spans="1:13" ht="15" customHeight="1" x14ac:dyDescent="0.35">
      <c r="A136" s="12"/>
      <c r="B136" s="12"/>
      <c r="C136" s="12"/>
      <c r="D136" s="12"/>
      <c r="E136" s="12"/>
      <c r="F136" s="12"/>
      <c r="G136" s="12"/>
      <c r="H136" s="12"/>
      <c r="I136" s="12"/>
      <c r="J136" s="12"/>
      <c r="K136" s="12"/>
      <c r="L136" s="12"/>
      <c r="M136" s="12"/>
    </row>
    <row r="137" spans="1:13" ht="15" customHeight="1" x14ac:dyDescent="0.35">
      <c r="A137" s="12"/>
      <c r="B137" s="12"/>
      <c r="C137" s="12"/>
      <c r="D137" s="12"/>
      <c r="E137" s="12"/>
      <c r="F137" s="12"/>
      <c r="G137" s="12"/>
      <c r="H137" s="12"/>
      <c r="I137" s="12"/>
      <c r="J137" s="12"/>
      <c r="K137" s="12"/>
      <c r="L137" s="12"/>
      <c r="M137" s="12"/>
    </row>
    <row r="138" spans="1:13" ht="15" customHeight="1" x14ac:dyDescent="0.35">
      <c r="A138" s="12"/>
      <c r="B138" s="12"/>
      <c r="C138" s="12"/>
      <c r="D138" s="12"/>
      <c r="E138" s="12"/>
      <c r="F138" s="12"/>
      <c r="G138" s="12"/>
      <c r="H138" s="12"/>
      <c r="I138" s="12"/>
      <c r="J138" s="12"/>
      <c r="K138" s="12"/>
      <c r="L138" s="12"/>
      <c r="M138" s="12"/>
    </row>
    <row r="139" spans="1:13" ht="15" customHeight="1" x14ac:dyDescent="0.35">
      <c r="A139" s="12"/>
      <c r="B139" s="12"/>
      <c r="C139" s="12"/>
      <c r="D139" s="12"/>
      <c r="E139" s="12"/>
      <c r="F139" s="12"/>
      <c r="G139" s="12"/>
      <c r="H139" s="12"/>
      <c r="I139" s="12"/>
      <c r="J139" s="12"/>
      <c r="K139" s="12"/>
      <c r="L139" s="12"/>
      <c r="M139" s="12"/>
    </row>
    <row r="140" spans="1:13" ht="15" customHeight="1" x14ac:dyDescent="0.35">
      <c r="A140" s="12"/>
      <c r="B140" s="12"/>
      <c r="C140" s="12"/>
      <c r="D140" s="12"/>
      <c r="E140" s="12"/>
      <c r="F140" s="12"/>
      <c r="G140" s="12"/>
      <c r="H140" s="12"/>
      <c r="I140" s="12"/>
      <c r="J140" s="12"/>
      <c r="K140" s="12"/>
      <c r="L140" s="12"/>
      <c r="M140" s="12"/>
    </row>
    <row r="141" spans="1:13" ht="15" customHeight="1" x14ac:dyDescent="0.35">
      <c r="A141" s="12"/>
      <c r="B141" s="12"/>
      <c r="C141" s="12"/>
      <c r="D141" s="12"/>
      <c r="E141" s="12"/>
      <c r="F141" s="12"/>
      <c r="G141" s="12"/>
      <c r="H141" s="12"/>
      <c r="I141" s="12"/>
      <c r="J141" s="12"/>
      <c r="K141" s="12"/>
      <c r="L141" s="12"/>
      <c r="M141" s="12"/>
    </row>
    <row r="142" spans="1:13" ht="15" customHeight="1" x14ac:dyDescent="0.35">
      <c r="A142" s="12"/>
      <c r="B142" s="12"/>
      <c r="C142" s="12"/>
      <c r="D142" s="12"/>
      <c r="E142" s="12"/>
      <c r="F142" s="12"/>
      <c r="G142" s="12"/>
      <c r="H142" s="12"/>
      <c r="I142" s="12"/>
      <c r="J142" s="12"/>
      <c r="K142" s="12"/>
      <c r="L142" s="12"/>
      <c r="M142" s="12"/>
    </row>
    <row r="143" spans="1:13" ht="15" customHeight="1" x14ac:dyDescent="0.35">
      <c r="A143" s="12"/>
      <c r="B143" s="12"/>
      <c r="C143" s="12"/>
      <c r="D143" s="12"/>
      <c r="E143" s="12"/>
      <c r="F143" s="12"/>
      <c r="G143" s="12"/>
      <c r="H143" s="12"/>
      <c r="I143" s="12"/>
      <c r="J143" s="12"/>
      <c r="K143" s="12"/>
      <c r="L143" s="12"/>
      <c r="M143" s="12"/>
    </row>
    <row r="144" spans="1:13" ht="15" customHeight="1" x14ac:dyDescent="0.35">
      <c r="A144" s="12"/>
      <c r="B144" s="12"/>
      <c r="C144" s="12"/>
      <c r="D144" s="12"/>
      <c r="E144" s="12"/>
      <c r="F144" s="12"/>
      <c r="G144" s="12"/>
      <c r="H144" s="12"/>
      <c r="I144" s="12"/>
      <c r="J144" s="12"/>
      <c r="K144" s="12"/>
      <c r="L144" s="12"/>
      <c r="M144" s="12"/>
    </row>
    <row r="145" spans="1:13" ht="15" customHeight="1" x14ac:dyDescent="0.35">
      <c r="A145" s="12"/>
      <c r="B145" s="12"/>
      <c r="C145" s="12"/>
      <c r="D145" s="12"/>
      <c r="E145" s="12"/>
      <c r="F145" s="12"/>
      <c r="G145" s="12"/>
      <c r="H145" s="12"/>
      <c r="I145" s="12"/>
      <c r="J145" s="12"/>
      <c r="K145" s="12"/>
      <c r="L145" s="12"/>
      <c r="M145" s="12"/>
    </row>
    <row r="146" spans="1:13" ht="15" customHeight="1" x14ac:dyDescent="0.35">
      <c r="A146" s="12"/>
      <c r="B146" s="12"/>
      <c r="C146" s="12"/>
      <c r="D146" s="12"/>
      <c r="E146" s="12"/>
      <c r="F146" s="12"/>
      <c r="G146" s="12"/>
      <c r="H146" s="12"/>
      <c r="I146" s="12"/>
      <c r="J146" s="12"/>
      <c r="K146" s="12"/>
      <c r="L146" s="12"/>
      <c r="M146" s="12"/>
    </row>
    <row r="147" spans="1:13" ht="15" customHeight="1" x14ac:dyDescent="0.35">
      <c r="A147" s="12"/>
      <c r="B147" s="12"/>
      <c r="C147" s="12"/>
      <c r="D147" s="12"/>
      <c r="E147" s="12"/>
      <c r="F147" s="12"/>
      <c r="G147" s="12"/>
      <c r="H147" s="12"/>
      <c r="I147" s="12"/>
      <c r="J147" s="12"/>
      <c r="K147" s="12"/>
      <c r="L147" s="12"/>
      <c r="M147" s="12"/>
    </row>
    <row r="148" spans="1:13" ht="15" customHeight="1" x14ac:dyDescent="0.35">
      <c r="A148" s="12"/>
      <c r="B148" s="12"/>
      <c r="C148" s="12"/>
      <c r="D148" s="12"/>
      <c r="E148" s="12"/>
      <c r="F148" s="12"/>
      <c r="G148" s="12"/>
      <c r="H148" s="12"/>
      <c r="I148" s="12"/>
      <c r="J148" s="12"/>
      <c r="K148" s="12"/>
      <c r="L148" s="12"/>
      <c r="M148" s="12"/>
    </row>
    <row r="149" spans="1:13" ht="15" customHeight="1" x14ac:dyDescent="0.35">
      <c r="A149" s="12"/>
      <c r="B149" s="12"/>
      <c r="C149" s="12"/>
      <c r="D149" s="12"/>
      <c r="E149" s="12"/>
      <c r="F149" s="12"/>
      <c r="G149" s="12"/>
      <c r="H149" s="12"/>
      <c r="I149" s="12"/>
      <c r="J149" s="12"/>
      <c r="K149" s="12"/>
      <c r="L149" s="12"/>
      <c r="M149" s="12"/>
    </row>
    <row r="150" spans="1:13" ht="15" customHeight="1" x14ac:dyDescent="0.35">
      <c r="A150" s="12"/>
      <c r="B150" s="12"/>
      <c r="C150" s="12"/>
      <c r="D150" s="12"/>
      <c r="E150" s="12"/>
      <c r="F150" s="12"/>
      <c r="G150" s="12"/>
      <c r="H150" s="12"/>
      <c r="I150" s="12"/>
      <c r="J150" s="12"/>
      <c r="K150" s="12"/>
      <c r="L150" s="12"/>
      <c r="M150" s="12"/>
    </row>
    <row r="151" spans="1:13" ht="15" customHeight="1" x14ac:dyDescent="0.35">
      <c r="A151" s="12"/>
      <c r="B151" s="12"/>
      <c r="C151" s="12"/>
      <c r="D151" s="12"/>
      <c r="E151" s="12"/>
      <c r="F151" s="12"/>
      <c r="G151" s="12"/>
      <c r="H151" s="12"/>
      <c r="I151" s="12"/>
      <c r="J151" s="12"/>
      <c r="K151" s="12"/>
      <c r="L151" s="12"/>
      <c r="M151" s="12"/>
    </row>
    <row r="152" spans="1:13" ht="15" customHeight="1" x14ac:dyDescent="0.35">
      <c r="A152" s="12"/>
      <c r="B152" s="12"/>
      <c r="C152" s="12"/>
      <c r="D152" s="12"/>
      <c r="E152" s="12"/>
      <c r="F152" s="12"/>
      <c r="G152" s="12"/>
      <c r="H152" s="12"/>
      <c r="I152" s="12"/>
      <c r="J152" s="12"/>
      <c r="K152" s="12"/>
      <c r="L152" s="12"/>
      <c r="M152" s="12"/>
    </row>
    <row r="153" spans="1:13" ht="15" customHeight="1" x14ac:dyDescent="0.35">
      <c r="A153" s="12"/>
      <c r="B153" s="12"/>
      <c r="C153" s="12"/>
      <c r="D153" s="12"/>
      <c r="E153" s="12"/>
      <c r="F153" s="12"/>
      <c r="G153" s="12"/>
      <c r="H153" s="12"/>
      <c r="I153" s="12"/>
      <c r="J153" s="12"/>
      <c r="K153" s="12"/>
      <c r="L153" s="12"/>
      <c r="M153" s="12"/>
    </row>
    <row r="154" spans="1:13" ht="15" customHeight="1" x14ac:dyDescent="0.35">
      <c r="A154" s="12"/>
      <c r="B154" s="12"/>
      <c r="C154" s="12"/>
      <c r="D154" s="12"/>
      <c r="E154" s="12"/>
      <c r="F154" s="12"/>
      <c r="G154" s="12"/>
      <c r="H154" s="12"/>
      <c r="I154" s="12"/>
      <c r="J154" s="12"/>
      <c r="K154" s="12"/>
      <c r="L154" s="12"/>
      <c r="M154" s="12"/>
    </row>
    <row r="155" spans="1:13" ht="15" customHeight="1" x14ac:dyDescent="0.35">
      <c r="A155" s="12"/>
      <c r="B155" s="12"/>
      <c r="C155" s="12"/>
      <c r="D155" s="12"/>
      <c r="E155" s="12"/>
      <c r="F155" s="12"/>
      <c r="G155" s="12"/>
      <c r="H155" s="12"/>
      <c r="I155" s="12"/>
      <c r="J155" s="12"/>
      <c r="K155" s="12"/>
      <c r="L155" s="12"/>
      <c r="M155" s="12"/>
    </row>
    <row r="156" spans="1:13" ht="15" customHeight="1" x14ac:dyDescent="0.35">
      <c r="A156" s="12"/>
      <c r="B156" s="12"/>
      <c r="C156" s="12"/>
      <c r="D156" s="12"/>
      <c r="E156" s="12"/>
      <c r="F156" s="12"/>
      <c r="G156" s="12"/>
      <c r="H156" s="12"/>
      <c r="I156" s="12"/>
      <c r="J156" s="12"/>
      <c r="K156" s="12"/>
      <c r="L156" s="12"/>
      <c r="M156" s="12"/>
    </row>
    <row r="157" spans="1:13" ht="15" customHeight="1" x14ac:dyDescent="0.35">
      <c r="A157" s="12"/>
      <c r="B157" s="12"/>
      <c r="C157" s="12"/>
      <c r="D157" s="12"/>
      <c r="E157" s="12"/>
      <c r="F157" s="12"/>
      <c r="G157" s="12"/>
      <c r="H157" s="12"/>
      <c r="I157" s="12"/>
      <c r="J157" s="12"/>
      <c r="K157" s="12"/>
      <c r="L157" s="12"/>
      <c r="M157" s="12"/>
    </row>
    <row r="158" spans="1:13" ht="15" customHeight="1" x14ac:dyDescent="0.35">
      <c r="A158" s="12"/>
      <c r="B158" s="12"/>
      <c r="C158" s="12"/>
      <c r="D158" s="12"/>
      <c r="E158" s="12"/>
      <c r="F158" s="12"/>
      <c r="G158" s="12"/>
      <c r="H158" s="12"/>
      <c r="I158" s="12"/>
      <c r="J158" s="12"/>
      <c r="K158" s="12"/>
      <c r="L158" s="12"/>
      <c r="M158" s="12"/>
    </row>
    <row r="159" spans="1:13" ht="15" customHeight="1" x14ac:dyDescent="0.35">
      <c r="A159" s="12"/>
      <c r="B159" s="12"/>
      <c r="C159" s="12"/>
      <c r="D159" s="12"/>
      <c r="E159" s="12"/>
      <c r="F159" s="12"/>
      <c r="G159" s="12"/>
      <c r="H159" s="12"/>
      <c r="I159" s="12"/>
      <c r="J159" s="12"/>
      <c r="K159" s="12"/>
      <c r="L159" s="12"/>
      <c r="M159" s="12"/>
    </row>
    <row r="160" spans="1:13" ht="15" customHeight="1" x14ac:dyDescent="0.35">
      <c r="A160" s="12"/>
      <c r="B160" s="12"/>
      <c r="C160" s="12"/>
      <c r="D160" s="12"/>
      <c r="E160" s="12"/>
      <c r="F160" s="12"/>
      <c r="G160" s="12"/>
      <c r="H160" s="12"/>
      <c r="I160" s="12"/>
      <c r="J160" s="12"/>
      <c r="K160" s="12"/>
      <c r="L160" s="12"/>
      <c r="M160" s="12"/>
    </row>
    <row r="161" spans="1:13" ht="15" customHeight="1" x14ac:dyDescent="0.35">
      <c r="A161" s="12"/>
      <c r="B161" s="12"/>
      <c r="C161" s="12"/>
      <c r="D161" s="12"/>
      <c r="E161" s="12"/>
      <c r="F161" s="12"/>
      <c r="G161" s="12"/>
      <c r="H161" s="12"/>
      <c r="I161" s="12"/>
      <c r="J161" s="12"/>
      <c r="K161" s="12"/>
      <c r="L161" s="12"/>
      <c r="M161" s="12"/>
    </row>
    <row r="162" spans="1:13" ht="15" customHeight="1" x14ac:dyDescent="0.35">
      <c r="A162" s="12"/>
      <c r="B162" s="12"/>
      <c r="C162" s="12"/>
      <c r="D162" s="12"/>
      <c r="E162" s="12"/>
      <c r="F162" s="12"/>
      <c r="G162" s="12"/>
      <c r="H162" s="12"/>
      <c r="I162" s="12"/>
      <c r="J162" s="12"/>
      <c r="K162" s="12"/>
      <c r="L162" s="12"/>
      <c r="M162" s="12"/>
    </row>
    <row r="163" spans="1:13" ht="15" customHeight="1" x14ac:dyDescent="0.35">
      <c r="A163" s="12"/>
      <c r="B163" s="12"/>
      <c r="C163" s="12"/>
      <c r="D163" s="12"/>
      <c r="E163" s="12"/>
      <c r="F163" s="12"/>
      <c r="G163" s="12"/>
      <c r="H163" s="12"/>
      <c r="I163" s="12"/>
      <c r="J163" s="12"/>
      <c r="K163" s="12"/>
      <c r="L163" s="12"/>
      <c r="M163" s="12"/>
    </row>
    <row r="164" spans="1:13" ht="15" customHeight="1" x14ac:dyDescent="0.35">
      <c r="A164" s="12"/>
      <c r="B164" s="12"/>
      <c r="C164" s="12"/>
      <c r="D164" s="12"/>
      <c r="E164" s="12"/>
      <c r="F164" s="12"/>
      <c r="G164" s="12"/>
      <c r="H164" s="12"/>
      <c r="I164" s="12"/>
      <c r="J164" s="12"/>
      <c r="K164" s="12"/>
      <c r="L164" s="12"/>
      <c r="M164" s="12"/>
    </row>
    <row r="165" spans="1:13" ht="15" customHeight="1" x14ac:dyDescent="0.35">
      <c r="A165" s="12"/>
      <c r="B165" s="12"/>
      <c r="C165" s="12"/>
      <c r="D165" s="12"/>
      <c r="E165" s="12"/>
      <c r="F165" s="12"/>
      <c r="G165" s="12"/>
      <c r="H165" s="12"/>
      <c r="I165" s="12"/>
      <c r="J165" s="12"/>
      <c r="K165" s="12"/>
      <c r="L165" s="12"/>
      <c r="M165" s="12"/>
    </row>
    <row r="166" spans="1:13" ht="15" customHeight="1" x14ac:dyDescent="0.35">
      <c r="A166" s="12"/>
      <c r="B166" s="12"/>
      <c r="C166" s="12"/>
      <c r="D166" s="12"/>
      <c r="E166" s="12"/>
      <c r="F166" s="12"/>
      <c r="G166" s="12"/>
      <c r="H166" s="12"/>
      <c r="I166" s="12"/>
      <c r="J166" s="12"/>
      <c r="K166" s="12"/>
      <c r="L166" s="12"/>
      <c r="M166" s="12"/>
    </row>
    <row r="167" spans="1:13" ht="15" customHeight="1" x14ac:dyDescent="0.35">
      <c r="A167" s="12"/>
      <c r="B167" s="12"/>
      <c r="C167" s="12"/>
      <c r="D167" s="12"/>
      <c r="E167" s="12"/>
      <c r="F167" s="12"/>
      <c r="G167" s="12"/>
      <c r="H167" s="12"/>
      <c r="I167" s="12"/>
      <c r="J167" s="12"/>
      <c r="K167" s="12"/>
      <c r="L167" s="12"/>
      <c r="M167" s="12"/>
    </row>
    <row r="168" spans="1:13" ht="15" customHeight="1" x14ac:dyDescent="0.35">
      <c r="A168" s="12"/>
      <c r="B168" s="12"/>
      <c r="C168" s="12"/>
      <c r="D168" s="12"/>
      <c r="E168" s="12"/>
      <c r="F168" s="12"/>
      <c r="G168" s="12"/>
      <c r="H168" s="12"/>
      <c r="I168" s="12"/>
      <c r="J168" s="12"/>
      <c r="K168" s="12"/>
      <c r="L168" s="12"/>
      <c r="M168" s="12"/>
    </row>
    <row r="169" spans="1:13" ht="15" customHeight="1" x14ac:dyDescent="0.35">
      <c r="A169" s="12"/>
      <c r="B169" s="12"/>
      <c r="C169" s="12"/>
      <c r="D169" s="12"/>
      <c r="E169" s="12"/>
      <c r="F169" s="12"/>
      <c r="G169" s="12"/>
      <c r="H169" s="12"/>
      <c r="I169" s="12"/>
      <c r="J169" s="12"/>
      <c r="K169" s="12"/>
      <c r="L169" s="12"/>
      <c r="M169" s="12"/>
    </row>
    <row r="170" spans="1:13" ht="15" customHeight="1" x14ac:dyDescent="0.35">
      <c r="A170" s="12"/>
      <c r="B170" s="12"/>
      <c r="C170" s="12"/>
      <c r="D170" s="12"/>
      <c r="E170" s="12"/>
      <c r="F170" s="12"/>
      <c r="G170" s="12"/>
      <c r="H170" s="12"/>
      <c r="I170" s="12"/>
      <c r="J170" s="12"/>
      <c r="K170" s="12"/>
      <c r="L170" s="12"/>
      <c r="M170" s="12"/>
    </row>
    <row r="171" spans="1:13" ht="15" customHeight="1" x14ac:dyDescent="0.35">
      <c r="A171" s="12"/>
      <c r="B171" s="12"/>
      <c r="C171" s="12"/>
      <c r="D171" s="12"/>
      <c r="E171" s="12"/>
      <c r="F171" s="12"/>
      <c r="G171" s="12"/>
      <c r="H171" s="12"/>
      <c r="I171" s="12"/>
      <c r="J171" s="12"/>
      <c r="K171" s="12"/>
      <c r="L171" s="12"/>
      <c r="M171" s="12"/>
    </row>
    <row r="172" spans="1:13" ht="15" customHeight="1" x14ac:dyDescent="0.35">
      <c r="A172" s="12"/>
      <c r="B172" s="12"/>
      <c r="C172" s="12"/>
      <c r="D172" s="12"/>
      <c r="E172" s="12"/>
      <c r="F172" s="12"/>
      <c r="G172" s="12"/>
      <c r="H172" s="12"/>
      <c r="I172" s="12"/>
      <c r="J172" s="12"/>
      <c r="K172" s="12"/>
      <c r="L172" s="12"/>
      <c r="M172" s="12"/>
    </row>
    <row r="173" spans="1:13" ht="15" customHeight="1" x14ac:dyDescent="0.35">
      <c r="A173" s="12"/>
      <c r="B173" s="12"/>
      <c r="C173" s="12"/>
      <c r="D173" s="12"/>
      <c r="E173" s="12"/>
      <c r="F173" s="12"/>
      <c r="G173" s="12"/>
      <c r="H173" s="12"/>
      <c r="I173" s="12"/>
      <c r="J173" s="12"/>
      <c r="K173" s="12"/>
      <c r="L173" s="12"/>
      <c r="M173" s="12"/>
    </row>
    <row r="174" spans="1:13" ht="15" customHeight="1" x14ac:dyDescent="0.35">
      <c r="A174" s="12"/>
      <c r="B174" s="12"/>
      <c r="C174" s="12"/>
      <c r="D174" s="12"/>
      <c r="E174" s="12"/>
      <c r="F174" s="12"/>
      <c r="G174" s="12"/>
      <c r="H174" s="12"/>
      <c r="I174" s="12"/>
      <c r="J174" s="12"/>
      <c r="K174" s="12"/>
      <c r="L174" s="12"/>
      <c r="M174" s="12"/>
    </row>
    <row r="175" spans="1:13" ht="15" customHeight="1" x14ac:dyDescent="0.35">
      <c r="A175" s="12"/>
      <c r="B175" s="12"/>
      <c r="C175" s="12"/>
      <c r="D175" s="12"/>
      <c r="E175" s="12"/>
      <c r="F175" s="12"/>
      <c r="G175" s="12"/>
      <c r="H175" s="12"/>
      <c r="I175" s="12"/>
      <c r="J175" s="12"/>
      <c r="K175" s="12"/>
      <c r="L175" s="12"/>
      <c r="M175" s="12"/>
    </row>
    <row r="176" spans="1:13" ht="15" customHeight="1" x14ac:dyDescent="0.35">
      <c r="A176" s="12"/>
      <c r="B176" s="12"/>
      <c r="C176" s="12"/>
      <c r="D176" s="12"/>
      <c r="E176" s="12"/>
      <c r="F176" s="12"/>
      <c r="G176" s="12"/>
      <c r="H176" s="12"/>
      <c r="I176" s="12"/>
      <c r="J176" s="12"/>
      <c r="K176" s="12"/>
      <c r="L176" s="12"/>
      <c r="M176" s="12"/>
    </row>
    <row r="177" spans="1:13" ht="15" customHeight="1" x14ac:dyDescent="0.35">
      <c r="A177" s="12"/>
      <c r="B177" s="12"/>
      <c r="C177" s="12"/>
      <c r="D177" s="12"/>
      <c r="E177" s="12"/>
      <c r="F177" s="12"/>
      <c r="G177" s="12"/>
      <c r="H177" s="12"/>
      <c r="I177" s="12"/>
      <c r="J177" s="12"/>
      <c r="K177" s="12"/>
      <c r="L177" s="12"/>
      <c r="M177" s="12"/>
    </row>
    <row r="178" spans="1:13" ht="15" customHeight="1" x14ac:dyDescent="0.35">
      <c r="A178" s="12"/>
      <c r="B178" s="12"/>
      <c r="C178" s="12"/>
      <c r="D178" s="12"/>
      <c r="E178" s="12"/>
      <c r="F178" s="12"/>
      <c r="G178" s="12"/>
      <c r="H178" s="12"/>
      <c r="I178" s="12"/>
      <c r="J178" s="12"/>
      <c r="K178" s="12"/>
      <c r="L178" s="12"/>
      <c r="M178" s="12"/>
    </row>
    <row r="179" spans="1:13" ht="15" customHeight="1" x14ac:dyDescent="0.35">
      <c r="A179" s="12"/>
      <c r="B179" s="12"/>
      <c r="C179" s="12"/>
      <c r="D179" s="12"/>
      <c r="E179" s="12"/>
      <c r="F179" s="12"/>
      <c r="G179" s="12"/>
      <c r="H179" s="12"/>
      <c r="I179" s="12"/>
      <c r="J179" s="12"/>
      <c r="K179" s="12"/>
      <c r="L179" s="12"/>
      <c r="M179" s="12"/>
    </row>
    <row r="180" spans="1:13" ht="15" customHeight="1" x14ac:dyDescent="0.35">
      <c r="A180" s="12"/>
      <c r="B180" s="12"/>
      <c r="C180" s="12"/>
      <c r="D180" s="12"/>
      <c r="E180" s="12"/>
      <c r="F180" s="12"/>
      <c r="G180" s="12"/>
      <c r="H180" s="12"/>
      <c r="I180" s="12"/>
      <c r="J180" s="12"/>
      <c r="K180" s="12"/>
      <c r="L180" s="12"/>
      <c r="M180" s="12"/>
    </row>
    <row r="181" spans="1:13" ht="15" customHeight="1" x14ac:dyDescent="0.35">
      <c r="A181" s="12"/>
      <c r="B181" s="12"/>
      <c r="C181" s="12"/>
      <c r="D181" s="12"/>
      <c r="E181" s="12"/>
      <c r="F181" s="12"/>
      <c r="G181" s="12"/>
      <c r="H181" s="12"/>
      <c r="I181" s="12"/>
      <c r="J181" s="12"/>
      <c r="K181" s="12"/>
      <c r="L181" s="12"/>
      <c r="M181" s="12"/>
    </row>
    <row r="182" spans="1:13" ht="15" customHeight="1" x14ac:dyDescent="0.35">
      <c r="A182" s="12"/>
      <c r="B182" s="12"/>
      <c r="C182" s="12"/>
      <c r="D182" s="12"/>
      <c r="E182" s="12"/>
      <c r="F182" s="12"/>
      <c r="G182" s="12"/>
      <c r="H182" s="12"/>
      <c r="I182" s="12"/>
      <c r="J182" s="12"/>
      <c r="K182" s="12"/>
      <c r="L182" s="12"/>
      <c r="M182" s="12"/>
    </row>
    <row r="183" spans="1:13" ht="15" customHeight="1" x14ac:dyDescent="0.35">
      <c r="A183" s="12"/>
      <c r="B183" s="12"/>
      <c r="C183" s="12"/>
      <c r="D183" s="12"/>
      <c r="E183" s="12"/>
      <c r="F183" s="12"/>
      <c r="G183" s="12"/>
      <c r="H183" s="12"/>
      <c r="I183" s="12"/>
      <c r="J183" s="12"/>
      <c r="K183" s="12"/>
      <c r="L183" s="12"/>
      <c r="M183" s="12"/>
    </row>
    <row r="184" spans="1:13" ht="15" customHeight="1" x14ac:dyDescent="0.35">
      <c r="A184" s="12"/>
      <c r="B184" s="12"/>
      <c r="C184" s="12"/>
      <c r="D184" s="12"/>
      <c r="E184" s="12"/>
      <c r="F184" s="12"/>
      <c r="G184" s="12"/>
      <c r="H184" s="12"/>
      <c r="I184" s="12"/>
      <c r="J184" s="12"/>
      <c r="K184" s="12"/>
      <c r="L184" s="12"/>
      <c r="M184" s="12"/>
    </row>
    <row r="185" spans="1:13" ht="15" customHeight="1" x14ac:dyDescent="0.35">
      <c r="A185" s="12"/>
      <c r="B185" s="12"/>
      <c r="C185" s="12"/>
      <c r="D185" s="12"/>
      <c r="E185" s="12"/>
      <c r="F185" s="12"/>
      <c r="G185" s="12"/>
      <c r="H185" s="12"/>
      <c r="I185" s="12"/>
      <c r="J185" s="12"/>
      <c r="K185" s="12"/>
      <c r="L185" s="12"/>
      <c r="M185" s="12"/>
    </row>
    <row r="186" spans="1:13" ht="15" customHeight="1" x14ac:dyDescent="0.35">
      <c r="A186" s="12"/>
      <c r="B186" s="12"/>
      <c r="C186" s="12"/>
      <c r="D186" s="12"/>
      <c r="E186" s="12"/>
      <c r="F186" s="12"/>
      <c r="G186" s="12"/>
      <c r="H186" s="12"/>
      <c r="I186" s="12"/>
      <c r="J186" s="12"/>
      <c r="K186" s="12"/>
      <c r="L186" s="12"/>
      <c r="M186" s="12"/>
    </row>
    <row r="187" spans="1:13" ht="15" customHeight="1" x14ac:dyDescent="0.35">
      <c r="A187" s="12"/>
      <c r="B187" s="12"/>
      <c r="C187" s="12"/>
      <c r="D187" s="12"/>
      <c r="E187" s="12"/>
      <c r="F187" s="12"/>
      <c r="G187" s="12"/>
      <c r="H187" s="12"/>
      <c r="I187" s="12"/>
      <c r="J187" s="12"/>
      <c r="K187" s="12"/>
      <c r="L187" s="12"/>
      <c r="M187" s="12"/>
    </row>
    <row r="188" spans="1:13" ht="15" customHeight="1" x14ac:dyDescent="0.35">
      <c r="A188" s="12"/>
      <c r="B188" s="12"/>
      <c r="C188" s="12"/>
      <c r="D188" s="12"/>
      <c r="E188" s="12"/>
      <c r="F188" s="12"/>
      <c r="G188" s="12"/>
      <c r="H188" s="12"/>
      <c r="I188" s="12"/>
      <c r="J188" s="12"/>
      <c r="K188" s="12"/>
      <c r="L188" s="12"/>
      <c r="M188" s="12"/>
    </row>
    <row r="189" spans="1:13" ht="15" customHeight="1" x14ac:dyDescent="0.35">
      <c r="A189" s="12"/>
      <c r="B189" s="12"/>
      <c r="C189" s="12"/>
      <c r="D189" s="12"/>
      <c r="E189" s="12"/>
      <c r="F189" s="12"/>
      <c r="G189" s="12"/>
      <c r="H189" s="12"/>
      <c r="I189" s="12"/>
      <c r="J189" s="12"/>
      <c r="K189" s="12"/>
      <c r="L189" s="12"/>
      <c r="M189" s="12"/>
    </row>
    <row r="190" spans="1:13" ht="15" customHeight="1" x14ac:dyDescent="0.35">
      <c r="A190" s="12"/>
      <c r="B190" s="12"/>
      <c r="C190" s="12"/>
      <c r="D190" s="12"/>
      <c r="E190" s="12"/>
      <c r="F190" s="12"/>
      <c r="G190" s="12"/>
      <c r="H190" s="12"/>
      <c r="I190" s="12"/>
      <c r="J190" s="12"/>
      <c r="K190" s="12"/>
      <c r="L190" s="12"/>
      <c r="M190" s="12"/>
    </row>
    <row r="191" spans="1:13" ht="15" customHeight="1" x14ac:dyDescent="0.35">
      <c r="A191" s="12"/>
      <c r="B191" s="12"/>
      <c r="C191" s="12"/>
      <c r="D191" s="12"/>
      <c r="E191" s="12"/>
      <c r="F191" s="12"/>
      <c r="G191" s="12"/>
      <c r="H191" s="12"/>
      <c r="I191" s="12"/>
      <c r="J191" s="12"/>
      <c r="K191" s="12"/>
      <c r="L191" s="12"/>
      <c r="M191" s="12"/>
    </row>
    <row r="192" spans="1:13" ht="15" customHeight="1" x14ac:dyDescent="0.35">
      <c r="A192" s="12"/>
      <c r="B192" s="12"/>
      <c r="C192" s="12"/>
      <c r="D192" s="12"/>
      <c r="E192" s="12"/>
      <c r="F192" s="12"/>
      <c r="G192" s="12"/>
      <c r="H192" s="12"/>
      <c r="I192" s="12"/>
      <c r="J192" s="12"/>
      <c r="K192" s="12"/>
      <c r="L192" s="12"/>
      <c r="M192" s="12"/>
    </row>
    <row r="193" spans="1:13" ht="15" customHeight="1" x14ac:dyDescent="0.35">
      <c r="A193" s="12"/>
      <c r="B193" s="12"/>
      <c r="C193" s="12"/>
      <c r="D193" s="12"/>
      <c r="E193" s="12"/>
      <c r="F193" s="12"/>
      <c r="G193" s="12"/>
      <c r="H193" s="12"/>
      <c r="I193" s="12"/>
      <c r="J193" s="12"/>
      <c r="K193" s="12"/>
      <c r="L193" s="12"/>
      <c r="M193" s="12"/>
    </row>
    <row r="194" spans="1:13" ht="15" customHeight="1" x14ac:dyDescent="0.35">
      <c r="A194" s="12"/>
      <c r="B194" s="12"/>
      <c r="C194" s="12"/>
      <c r="D194" s="12"/>
      <c r="E194" s="12"/>
      <c r="F194" s="12"/>
      <c r="G194" s="12"/>
      <c r="H194" s="12"/>
      <c r="I194" s="12"/>
      <c r="J194" s="12"/>
      <c r="K194" s="12"/>
      <c r="L194" s="12"/>
      <c r="M194" s="12"/>
    </row>
    <row r="195" spans="1:13" ht="15" customHeight="1" x14ac:dyDescent="0.35">
      <c r="A195" s="12"/>
      <c r="B195" s="12"/>
      <c r="C195" s="12"/>
      <c r="D195" s="12"/>
      <c r="E195" s="12"/>
      <c r="F195" s="12"/>
      <c r="G195" s="12"/>
      <c r="H195" s="12"/>
      <c r="I195" s="12"/>
      <c r="J195" s="12"/>
      <c r="K195" s="12"/>
      <c r="L195" s="12"/>
      <c r="M195" s="12"/>
    </row>
    <row r="196" spans="1:13" ht="15" customHeight="1" x14ac:dyDescent="0.35">
      <c r="A196" s="12"/>
      <c r="B196" s="12"/>
      <c r="C196" s="12"/>
      <c r="D196" s="12"/>
      <c r="E196" s="12"/>
      <c r="F196" s="12"/>
      <c r="G196" s="12"/>
      <c r="H196" s="12"/>
      <c r="I196" s="12"/>
      <c r="J196" s="12"/>
      <c r="K196" s="12"/>
      <c r="L196" s="12"/>
      <c r="M196" s="12"/>
    </row>
    <row r="197" spans="1:13" ht="15" customHeight="1" x14ac:dyDescent="0.35">
      <c r="A197" s="12"/>
      <c r="B197" s="12"/>
      <c r="C197" s="12"/>
      <c r="D197" s="12"/>
      <c r="E197" s="12"/>
      <c r="F197" s="12"/>
      <c r="G197" s="12"/>
      <c r="H197" s="12"/>
      <c r="I197" s="12"/>
      <c r="J197" s="12"/>
      <c r="K197" s="12"/>
      <c r="L197" s="12"/>
      <c r="M197" s="12"/>
    </row>
    <row r="198" spans="1:13" ht="15" customHeight="1" x14ac:dyDescent="0.35">
      <c r="A198" s="12"/>
      <c r="B198" s="12"/>
      <c r="C198" s="12"/>
      <c r="D198" s="12"/>
      <c r="E198" s="12"/>
      <c r="F198" s="12"/>
      <c r="G198" s="12"/>
      <c r="H198" s="12"/>
      <c r="I198" s="12"/>
      <c r="J198" s="12"/>
      <c r="K198" s="12"/>
      <c r="L198" s="12"/>
      <c r="M198" s="12"/>
    </row>
    <row r="199" spans="1:13" ht="15" customHeight="1" x14ac:dyDescent="0.35">
      <c r="A199" s="12"/>
      <c r="B199" s="12"/>
      <c r="C199" s="12"/>
      <c r="D199" s="12"/>
      <c r="E199" s="12"/>
      <c r="F199" s="12"/>
      <c r="G199" s="12"/>
      <c r="H199" s="12"/>
      <c r="I199" s="12"/>
      <c r="J199" s="12"/>
      <c r="K199" s="12"/>
      <c r="L199" s="12"/>
      <c r="M199" s="12"/>
    </row>
    <row r="200" spans="1:13" ht="15" customHeight="1" x14ac:dyDescent="0.35">
      <c r="A200" s="12"/>
      <c r="B200" s="12"/>
      <c r="C200" s="12"/>
      <c r="D200" s="12"/>
      <c r="E200" s="12"/>
      <c r="F200" s="12"/>
      <c r="G200" s="12"/>
      <c r="H200" s="12"/>
      <c r="I200" s="12"/>
      <c r="J200" s="12"/>
      <c r="K200" s="12"/>
      <c r="L200" s="12"/>
      <c r="M200" s="12"/>
    </row>
    <row r="201" spans="1:13" ht="15" customHeight="1" x14ac:dyDescent="0.35">
      <c r="A201" s="12"/>
      <c r="B201" s="12"/>
      <c r="C201" s="12"/>
      <c r="D201" s="12"/>
      <c r="E201" s="12"/>
      <c r="F201" s="12"/>
      <c r="G201" s="12"/>
      <c r="H201" s="12"/>
      <c r="I201" s="12"/>
      <c r="J201" s="12"/>
      <c r="K201" s="12"/>
      <c r="L201" s="12"/>
      <c r="M201" s="12"/>
    </row>
  </sheetData>
  <dataValidations count="3">
    <dataValidation type="list" allowBlank="1" sqref="D2:D1013" xr:uid="{00000000-0002-0000-0500-000000000000}">
      <formula1>AthleteIDs</formula1>
      <formula2>0</formula2>
    </dataValidation>
    <dataValidation type="list" allowBlank="1" sqref="E2:E1013" xr:uid="{00000000-0002-0000-0500-000001000000}">
      <formula1>EventsList</formula1>
      <formula2>0</formula2>
    </dataValidation>
    <dataValidation type="list" allowBlank="1" sqref="K2:K1013" xr:uid="{00000000-0002-0000-0500-000002000000}">
      <formula1>YNList</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3"/>
  <sheetViews>
    <sheetView topLeftCell="A18" zoomScaleNormal="100" workbookViewId="0"/>
  </sheetViews>
  <sheetFormatPr defaultColWidth="8.6328125" defaultRowHeight="14.5" x14ac:dyDescent="0.35"/>
  <cols>
    <col min="1" max="1" width="20" style="1" customWidth="1"/>
    <col min="2" max="2" width="16" style="1" customWidth="1"/>
    <col min="3" max="4" width="14" style="1" customWidth="1"/>
    <col min="5" max="6" width="11" style="1" customWidth="1"/>
    <col min="7" max="7" width="9" style="1" customWidth="1"/>
    <col min="8" max="9" width="13" style="1" customWidth="1"/>
    <col min="10" max="10" width="15" style="1" customWidth="1"/>
  </cols>
  <sheetData>
    <row r="1" spans="1:9" ht="17.25" customHeight="1" x14ac:dyDescent="0.4">
      <c r="A1" s="25" t="s">
        <v>186</v>
      </c>
    </row>
    <row r="3" spans="1:9" ht="15" customHeight="1" x14ac:dyDescent="0.35">
      <c r="A3" s="13" t="s">
        <v>187</v>
      </c>
      <c r="B3" s="26" t="s">
        <v>94</v>
      </c>
    </row>
    <row r="4" spans="1:9" ht="15" customHeight="1" x14ac:dyDescent="0.35">
      <c r="A4" s="13" t="s">
        <v>188</v>
      </c>
      <c r="B4" s="27" t="str">
        <f>IFERROR(INDEX(Athletes!$B$2:$B$40,MATCH($B$3,Athletes!$A$2:$A$40,0)),"")</f>
        <v>Sample Athlete A</v>
      </c>
    </row>
    <row r="5" spans="1:9" ht="15" customHeight="1" x14ac:dyDescent="0.35">
      <c r="A5" s="13" t="s">
        <v>189</v>
      </c>
      <c r="B5" s="27" t="str">
        <f>IFERROR(INDEX(Athletes!$C$2:$C$40,MATCH($B$3,Athletes!$A$2:$A$40,0)),"")</f>
        <v>UTech</v>
      </c>
    </row>
    <row r="6" spans="1:9" ht="15" customHeight="1" x14ac:dyDescent="0.35">
      <c r="A6" s="13" t="s">
        <v>190</v>
      </c>
      <c r="B6" s="27" t="str">
        <f>IFERROR(INDEX(Athletes!$F$2:$F$40,MATCH($B$3,Athletes!$A$2:$A$40,0)),"")</f>
        <v>Shot Put</v>
      </c>
    </row>
    <row r="7" spans="1:9" ht="15" customHeight="1" x14ac:dyDescent="0.35">
      <c r="A7" s="13" t="s">
        <v>191</v>
      </c>
      <c r="B7" s="27">
        <f>IF(COUNTIF('Weekly Results'!$D$2:$D$2000,$B$3)=0,"",_xlfn.MAXIFS('Weekly Results'!$C$2:$C$2000,'Weekly Results'!$D$2:$D$2000,$B$3))</f>
        <v>4</v>
      </c>
    </row>
    <row r="9" spans="1:9" ht="15" customHeight="1" x14ac:dyDescent="0.35">
      <c r="A9" s="6" t="s">
        <v>192</v>
      </c>
      <c r="B9" s="6" t="s">
        <v>193</v>
      </c>
      <c r="C9" s="6" t="s">
        <v>194</v>
      </c>
      <c r="D9" s="6" t="s">
        <v>195</v>
      </c>
      <c r="E9" s="6" t="s">
        <v>196</v>
      </c>
      <c r="F9" s="6" t="s">
        <v>197</v>
      </c>
      <c r="G9" s="6" t="s">
        <v>198</v>
      </c>
      <c r="H9" s="6" t="s">
        <v>199</v>
      </c>
      <c r="I9" s="6" t="s">
        <v>200</v>
      </c>
    </row>
    <row r="10" spans="1:9" ht="15" customHeight="1" x14ac:dyDescent="0.35">
      <c r="A10" s="28" t="s">
        <v>166</v>
      </c>
      <c r="B10" s="29">
        <f>IF($B$7="","",IF(_xlfn.MAXIFS('Weekly Results'!$F$2:$F$2000,'Weekly Results'!$D$2:$D$2000,$B$3,'Weekly Results'!$C$2:$C$2000,$B$7)=0,"",_xlfn.MAXIFS('Weekly Results'!$F$2:$F$2000,'Weekly Results'!$D$2:$D$2000,$B$3,'Weekly Results'!$C$2:$C$2000,$B$7)))</f>
        <v>15.48</v>
      </c>
      <c r="C10" s="29">
        <f>IF($B$7="","",IF(_xlfn.MAXIFS('Weekly Results'!$F$2:$F$2000,'Weekly Results'!$D$2:$D$2000,$B$3,'Weekly Results'!$C$2:$C$2000,$B$7-1)=0,"",_xlfn.MAXIFS('Weekly Results'!$F$2:$F$2000,'Weekly Results'!$D$2:$D$2000,$B$3,'Weekly Results'!$C$2:$C$2000,$B$7-1)))</f>
        <v>15.05</v>
      </c>
      <c r="D10" s="29">
        <f>IF(OR(B10="",C10=""),"",B10-C10)</f>
        <v>0.42999999999999972</v>
      </c>
      <c r="E10" s="30">
        <f>IF(OR(B10="",C10="",C10=0),"",(B10-C10)/C10)</f>
        <v>2.857142857142855E-2</v>
      </c>
      <c r="F10" s="31" t="str">
        <f>IF(OR(B10="",C10=""),"",IF(B10&gt;C10,"▲",IF(B10&lt;C10,"▼","—")))</f>
        <v>▲</v>
      </c>
      <c r="G10" s="29">
        <f>IFERROR(INDEX(Athletes!$J$2:$J$40,MATCH($B$3,Athletes!$A$2:$A$40,0)),"")</f>
        <v>15.2</v>
      </c>
      <c r="H10" s="29">
        <f>IF(COUNTIF('Weekly Results'!$D$2:$D$2000,$B$3)=0,"",IF(_xlfn.MAXIFS('Weekly Results'!$F$2:$F$2000,'Weekly Results'!$D$2:$D$2000,$B$3)=0,"",_xlfn.MAXIFS('Weekly Results'!$F$2:$F$2000,'Weekly Results'!$D$2:$D$2000,$B$3)))</f>
        <v>15.48</v>
      </c>
      <c r="I10" s="30">
        <f>IF(OR(G10="",H10="",G10=0),"",(H10-G10)/G10)</f>
        <v>1.8421052631579022E-2</v>
      </c>
    </row>
    <row r="11" spans="1:9" ht="15" customHeight="1" x14ac:dyDescent="0.35">
      <c r="A11" s="28" t="s">
        <v>167</v>
      </c>
      <c r="B11" s="32">
        <f>IF($B$7="","",IF(_xlfn.MAXIFS('Weekly Results'!$G$2:$G$2000,'Weekly Results'!$D$2:$D$2000,$B$3,'Weekly Results'!$C$2:$C$2000,$B$7)=0,"",_xlfn.MAXIFS('Weekly Results'!$G$2:$G$2000,'Weekly Results'!$D$2:$D$2000,$B$3,'Weekly Results'!$C$2:$C$2000,$B$7)))</f>
        <v>185</v>
      </c>
      <c r="C11" s="32">
        <f>IF($B$7="","",IF(_xlfn.MAXIFS('Weekly Results'!$G$2:$G$2000,'Weekly Results'!$D$2:$D$2000,$B$3,'Weekly Results'!$C$2:$C$2000,$B$7-1)=0,"",_xlfn.MAXIFS('Weekly Results'!$G$2:$G$2000,'Weekly Results'!$D$2:$D$2000,$B$3,'Weekly Results'!$C$2:$C$2000,$B$7-1)))</f>
        <v>180</v>
      </c>
      <c r="D11" s="32">
        <f>IF(OR(B11="",C11=""),"",B11-C11)</f>
        <v>5</v>
      </c>
      <c r="E11" s="30">
        <f>IF(OR(B11="",C11="",C11=0),"",(B11-C11)/C11)</f>
        <v>2.7777777777777776E-2</v>
      </c>
      <c r="F11" s="31" t="str">
        <f>IF(OR(B11="",C11=""),"",IF(B11&gt;C11,"▲",IF(B11&lt;C11,"▼","—")))</f>
        <v>▲</v>
      </c>
      <c r="G11" s="32">
        <f>IFERROR(INDEX(Athletes!$K$2:$K$40,MATCH($B$3,Athletes!$A$2:$A$40,0)),"")</f>
        <v>180</v>
      </c>
      <c r="H11" s="32">
        <f>IF(COUNTIF('Weekly Results'!$D$2:$D$2000,$B$3)=0,"",IF(_xlfn.MAXIFS('Weekly Results'!$G$2:$G$2000,'Weekly Results'!$D$2:$D$2000,$B$3)=0,"",_xlfn.MAXIFS('Weekly Results'!$G$2:$G$2000,'Weekly Results'!$D$2:$D$2000,$B$3)))</f>
        <v>185</v>
      </c>
      <c r="I11" s="30">
        <f>IF(OR(G11="",H11="",G11=0),"",(H11-G11)/G11)</f>
        <v>2.7777777777777776E-2</v>
      </c>
    </row>
    <row r="12" spans="1:9" ht="15" customHeight="1" x14ac:dyDescent="0.35">
      <c r="A12" s="28" t="s">
        <v>168</v>
      </c>
      <c r="B12" s="32">
        <f>IF($B$7="","",IF(_xlfn.MAXIFS('Weekly Results'!$H$2:$H$2000,'Weekly Results'!$D$2:$D$2000,$B$3,'Weekly Results'!$C$2:$C$2000,$B$7)=0,"",_xlfn.MAXIFS('Weekly Results'!$H$2:$H$2000,'Weekly Results'!$D$2:$D$2000,$B$3,'Weekly Results'!$C$2:$C$2000,$B$7)))</f>
        <v>122.5</v>
      </c>
      <c r="C12" s="32">
        <f>IF($B$7="","",IF(_xlfn.MAXIFS('Weekly Results'!$H$2:$H$2000,'Weekly Results'!$D$2:$D$2000,$B$3,'Weekly Results'!$C$2:$C$2000,$B$7-1)=0,"",_xlfn.MAXIFS('Weekly Results'!$H$2:$H$2000,'Weekly Results'!$D$2:$D$2000,$B$3,'Weekly Results'!$C$2:$C$2000,$B$7-1)))</f>
        <v>122.5</v>
      </c>
      <c r="D12" s="32">
        <f>IF(OR(B12="",C12=""),"",B12-C12)</f>
        <v>0</v>
      </c>
      <c r="E12" s="30">
        <f>IF(OR(B12="",C12="",C12=0),"",(B12-C12)/C12)</f>
        <v>0</v>
      </c>
      <c r="F12" s="31" t="str">
        <f>IF(OR(B12="",C12=""),"",IF(B12&gt;C12,"▲",IF(B12&lt;C12,"▼","—")))</f>
        <v>—</v>
      </c>
      <c r="G12" s="32">
        <f>IFERROR(INDEX(Athletes!$L$2:$L$40,MATCH($B$3,Athletes!$A$2:$A$40,0)),"")</f>
        <v>120</v>
      </c>
      <c r="H12" s="32">
        <f>IF(COUNTIF('Weekly Results'!$D$2:$D$2000,$B$3)=0,"",IF(_xlfn.MAXIFS('Weekly Results'!$H$2:$H$2000,'Weekly Results'!$D$2:$D$2000,$B$3)=0,"",_xlfn.MAXIFS('Weekly Results'!$H$2:$H$2000,'Weekly Results'!$D$2:$D$2000,$B$3)))</f>
        <v>122.5</v>
      </c>
      <c r="I12" s="30">
        <f>IF(OR(G12="",H12="",G12=0),"",(H12-G12)/G12)</f>
        <v>2.0833333333333332E-2</v>
      </c>
    </row>
    <row r="13" spans="1:9" ht="15" customHeight="1" x14ac:dyDescent="0.35">
      <c r="A13" s="28" t="s">
        <v>169</v>
      </c>
      <c r="B13" s="32">
        <f>IF($B$7="","",IF(_xlfn.MAXIFS('Weekly Results'!$I$2:$I$2000,'Weekly Results'!$D$2:$D$2000,$B$3,'Weekly Results'!$C$2:$C$2000,$B$7)=0,"",_xlfn.MAXIFS('Weekly Results'!$I$2:$I$2000,'Weekly Results'!$D$2:$D$2000,$B$3,'Weekly Results'!$C$2:$C$2000,$B$7)))</f>
        <v>105</v>
      </c>
      <c r="C13" s="32">
        <f>IF($B$7="","",IF(_xlfn.MAXIFS('Weekly Results'!$I$2:$I$2000,'Weekly Results'!$D$2:$D$2000,$B$3,'Weekly Results'!$C$2:$C$2000,$B$7-1)=0,"",_xlfn.MAXIFS('Weekly Results'!$I$2:$I$2000,'Weekly Results'!$D$2:$D$2000,$B$3,'Weekly Results'!$C$2:$C$2000,$B$7-1)))</f>
        <v>100</v>
      </c>
      <c r="D13" s="32">
        <f>IF(OR(B13="",C13=""),"",B13-C13)</f>
        <v>5</v>
      </c>
      <c r="E13" s="30">
        <f>IF(OR(B13="",C13="",C13=0),"",(B13-C13)/C13)</f>
        <v>0.05</v>
      </c>
      <c r="F13" s="31" t="str">
        <f>IF(OR(B13="",C13=""),"",IF(B13&gt;C13,"▲",IF(B13&lt;C13,"▼","—")))</f>
        <v>▲</v>
      </c>
      <c r="G13" s="32">
        <f>IFERROR(INDEX(Athletes!$M$2:$M$40,MATCH($B$3,Athletes!$A$2:$A$40,0)),"")</f>
        <v>100</v>
      </c>
      <c r="H13" s="32">
        <f>IF(COUNTIF('Weekly Results'!$D$2:$D$2000,$B$3)=0,"",IF(_xlfn.MAXIFS('Weekly Results'!$I$2:$I$2000,'Weekly Results'!$D$2:$D$2000,$B$3)=0,"",_xlfn.MAXIFS('Weekly Results'!$I$2:$I$2000,'Weekly Results'!$D$2:$D$2000,$B$3)))</f>
        <v>105</v>
      </c>
      <c r="I13" s="30">
        <f>IF(OR(G13="",H13="",G13=0),"",(H13-G13)/G13)</f>
        <v>0.05</v>
      </c>
    </row>
    <row r="16" spans="1:9" ht="15" customHeight="1" x14ac:dyDescent="0.35">
      <c r="A16" s="33" t="s">
        <v>201</v>
      </c>
    </row>
    <row r="17" spans="1:5" ht="15" customHeight="1" x14ac:dyDescent="0.35">
      <c r="A17" s="6" t="s">
        <v>108</v>
      </c>
      <c r="B17" s="6" t="s">
        <v>166</v>
      </c>
      <c r="C17" s="6" t="s">
        <v>167</v>
      </c>
      <c r="D17" s="6" t="s">
        <v>168</v>
      </c>
      <c r="E17" s="6" t="s">
        <v>169</v>
      </c>
    </row>
    <row r="18" spans="1:5" ht="15" customHeight="1" x14ac:dyDescent="0.35">
      <c r="A18" s="34">
        <v>1</v>
      </c>
      <c r="B18" s="29">
        <f>IF($B$3="","",IF(_xlfn.MAXIFS('Weekly Results'!$F$2:$F$2000,'Weekly Results'!$D$2:$D$2000,$B$3,'Weekly Results'!$C$2:$C$2000,1)=0,"",_xlfn.MAXIFS('Weekly Results'!$F$2:$F$2000,'Weekly Results'!$D$2:$D$2000,$B$3,'Weekly Results'!$C$2:$C$2000,1)))</f>
        <v>15.1</v>
      </c>
      <c r="C18" s="32">
        <f>IF($B$3="","",IF(_xlfn.MAXIFS('Weekly Results'!$G$2:$G$2000,'Weekly Results'!$D$2:$D$2000,$B$3,'Weekly Results'!$C$2:$C$2000,1)=0,"",_xlfn.MAXIFS('Weekly Results'!$G$2:$G$2000,'Weekly Results'!$D$2:$D$2000,$B$3,'Weekly Results'!$C$2:$C$2000,1)))</f>
        <v>180</v>
      </c>
      <c r="D18" s="32">
        <f>IF($B$3="","",IF(_xlfn.MAXIFS('Weekly Results'!$H$2:$H$2000,'Weekly Results'!$D$2:$D$2000,$B$3,'Weekly Results'!$C$2:$C$2000,1)=0,"",_xlfn.MAXIFS('Weekly Results'!$H$2:$H$2000,'Weekly Results'!$D$2:$D$2000,$B$3,'Weekly Results'!$C$2:$C$2000,1)))</f>
        <v>120</v>
      </c>
      <c r="E18" s="32">
        <f>IF($B$3="","",IF(_xlfn.MAXIFS('Weekly Results'!$I$2:$I$2000,'Weekly Results'!$D$2:$D$2000,$B$3,'Weekly Results'!$C$2:$C$2000,1)=0,"",_xlfn.MAXIFS('Weekly Results'!$I$2:$I$2000,'Weekly Results'!$D$2:$D$2000,$B$3,'Weekly Results'!$C$2:$C$2000,1)))</f>
        <v>100</v>
      </c>
    </row>
    <row r="19" spans="1:5" ht="15" customHeight="1" x14ac:dyDescent="0.35">
      <c r="A19" s="35">
        <v>2</v>
      </c>
      <c r="B19" s="36">
        <f>IF($B$3="","",IF(_xlfn.MAXIFS('Weekly Results'!$F$2:$F$2000,'Weekly Results'!$D$2:$D$2000,$B$3,'Weekly Results'!$C$2:$C$2000,2)=0,"",_xlfn.MAXIFS('Weekly Results'!$F$2:$F$2000,'Weekly Results'!$D$2:$D$2000,$B$3,'Weekly Results'!$C$2:$C$2000,2)))</f>
        <v>15.32</v>
      </c>
      <c r="C19" s="37">
        <f>IF($B$3="","",IF(_xlfn.MAXIFS('Weekly Results'!$G$2:$G$2000,'Weekly Results'!$D$2:$D$2000,$B$3,'Weekly Results'!$C$2:$C$2000,2)=0,"",_xlfn.MAXIFS('Weekly Results'!$G$2:$G$2000,'Weekly Results'!$D$2:$D$2000,$B$3,'Weekly Results'!$C$2:$C$2000,2)))</f>
        <v>182.5</v>
      </c>
      <c r="D19" s="37">
        <f>IF($B$3="","",IF(_xlfn.MAXIFS('Weekly Results'!$H$2:$H$2000,'Weekly Results'!$D$2:$D$2000,$B$3,'Weekly Results'!$C$2:$C$2000,2)=0,"",_xlfn.MAXIFS('Weekly Results'!$H$2:$H$2000,'Weekly Results'!$D$2:$D$2000,$B$3,'Weekly Results'!$C$2:$C$2000,2)))</f>
        <v>120</v>
      </c>
      <c r="E19" s="37">
        <f>IF($B$3="","",IF(_xlfn.MAXIFS('Weekly Results'!$I$2:$I$2000,'Weekly Results'!$D$2:$D$2000,$B$3,'Weekly Results'!$C$2:$C$2000,2)=0,"",_xlfn.MAXIFS('Weekly Results'!$I$2:$I$2000,'Weekly Results'!$D$2:$D$2000,$B$3,'Weekly Results'!$C$2:$C$2000,2)))</f>
        <v>102.5</v>
      </c>
    </row>
    <row r="20" spans="1:5" ht="15" customHeight="1" x14ac:dyDescent="0.35">
      <c r="A20" s="34">
        <v>3</v>
      </c>
      <c r="B20" s="29">
        <f>IF($B$3="","",IF(_xlfn.MAXIFS('Weekly Results'!$F$2:$F$2000,'Weekly Results'!$D$2:$D$2000,$B$3,'Weekly Results'!$C$2:$C$2000,3)=0,"",_xlfn.MAXIFS('Weekly Results'!$F$2:$F$2000,'Weekly Results'!$D$2:$D$2000,$B$3,'Weekly Results'!$C$2:$C$2000,3)))</f>
        <v>15.05</v>
      </c>
      <c r="C20" s="32">
        <f>IF($B$3="","",IF(_xlfn.MAXIFS('Weekly Results'!$G$2:$G$2000,'Weekly Results'!$D$2:$D$2000,$B$3,'Weekly Results'!$C$2:$C$2000,3)=0,"",_xlfn.MAXIFS('Weekly Results'!$G$2:$G$2000,'Weekly Results'!$D$2:$D$2000,$B$3,'Weekly Results'!$C$2:$C$2000,3)))</f>
        <v>180</v>
      </c>
      <c r="D20" s="32">
        <f>IF($B$3="","",IF(_xlfn.MAXIFS('Weekly Results'!$H$2:$H$2000,'Weekly Results'!$D$2:$D$2000,$B$3,'Weekly Results'!$C$2:$C$2000,3)=0,"",_xlfn.MAXIFS('Weekly Results'!$H$2:$H$2000,'Weekly Results'!$D$2:$D$2000,$B$3,'Weekly Results'!$C$2:$C$2000,3)))</f>
        <v>122.5</v>
      </c>
      <c r="E20" s="32">
        <f>IF($B$3="","",IF(_xlfn.MAXIFS('Weekly Results'!$I$2:$I$2000,'Weekly Results'!$D$2:$D$2000,$B$3,'Weekly Results'!$C$2:$C$2000,3)=0,"",_xlfn.MAXIFS('Weekly Results'!$I$2:$I$2000,'Weekly Results'!$D$2:$D$2000,$B$3,'Weekly Results'!$C$2:$C$2000,3)))</f>
        <v>100</v>
      </c>
    </row>
    <row r="21" spans="1:5" ht="15" customHeight="1" x14ac:dyDescent="0.35">
      <c r="A21" s="35">
        <v>4</v>
      </c>
      <c r="B21" s="36">
        <f>IF($B$3="","",IF(_xlfn.MAXIFS('Weekly Results'!$F$2:$F$2000,'Weekly Results'!$D$2:$D$2000,$B$3,'Weekly Results'!$C$2:$C$2000,4)=0,"",_xlfn.MAXIFS('Weekly Results'!$F$2:$F$2000,'Weekly Results'!$D$2:$D$2000,$B$3,'Weekly Results'!$C$2:$C$2000,4)))</f>
        <v>15.48</v>
      </c>
      <c r="C21" s="37">
        <f>IF($B$3="","",IF(_xlfn.MAXIFS('Weekly Results'!$G$2:$G$2000,'Weekly Results'!$D$2:$D$2000,$B$3,'Weekly Results'!$C$2:$C$2000,4)=0,"",_xlfn.MAXIFS('Weekly Results'!$G$2:$G$2000,'Weekly Results'!$D$2:$D$2000,$B$3,'Weekly Results'!$C$2:$C$2000,4)))</f>
        <v>185</v>
      </c>
      <c r="D21" s="37">
        <f>IF($B$3="","",IF(_xlfn.MAXIFS('Weekly Results'!$H$2:$H$2000,'Weekly Results'!$D$2:$D$2000,$B$3,'Weekly Results'!$C$2:$C$2000,4)=0,"",_xlfn.MAXIFS('Weekly Results'!$H$2:$H$2000,'Weekly Results'!$D$2:$D$2000,$B$3,'Weekly Results'!$C$2:$C$2000,4)))</f>
        <v>122.5</v>
      </c>
      <c r="E21" s="37">
        <f>IF($B$3="","",IF(_xlfn.MAXIFS('Weekly Results'!$I$2:$I$2000,'Weekly Results'!$D$2:$D$2000,$B$3,'Weekly Results'!$C$2:$C$2000,4)=0,"",_xlfn.MAXIFS('Weekly Results'!$I$2:$I$2000,'Weekly Results'!$D$2:$D$2000,$B$3,'Weekly Results'!$C$2:$C$2000,4)))</f>
        <v>105</v>
      </c>
    </row>
    <row r="22" spans="1:5" ht="15" customHeight="1" x14ac:dyDescent="0.35">
      <c r="A22" s="34">
        <v>5</v>
      </c>
      <c r="B22" s="29" t="str">
        <f>IF($B$3="","",IF(_xlfn.MAXIFS('Weekly Results'!$F$2:$F$2000,'Weekly Results'!$D$2:$D$2000,$B$3,'Weekly Results'!$C$2:$C$2000,5)=0,"",_xlfn.MAXIFS('Weekly Results'!$F$2:$F$2000,'Weekly Results'!$D$2:$D$2000,$B$3,'Weekly Results'!$C$2:$C$2000,5)))</f>
        <v/>
      </c>
      <c r="C22" s="32" t="str">
        <f>IF($B$3="","",IF(_xlfn.MAXIFS('Weekly Results'!$G$2:$G$2000,'Weekly Results'!$D$2:$D$2000,$B$3,'Weekly Results'!$C$2:$C$2000,5)=0,"",_xlfn.MAXIFS('Weekly Results'!$G$2:$G$2000,'Weekly Results'!$D$2:$D$2000,$B$3,'Weekly Results'!$C$2:$C$2000,5)))</f>
        <v/>
      </c>
      <c r="D22" s="32" t="str">
        <f>IF($B$3="","",IF(_xlfn.MAXIFS('Weekly Results'!$H$2:$H$2000,'Weekly Results'!$D$2:$D$2000,$B$3,'Weekly Results'!$C$2:$C$2000,5)=0,"",_xlfn.MAXIFS('Weekly Results'!$H$2:$H$2000,'Weekly Results'!$D$2:$D$2000,$B$3,'Weekly Results'!$C$2:$C$2000,5)))</f>
        <v/>
      </c>
      <c r="E22" s="32" t="str">
        <f>IF($B$3="","",IF(_xlfn.MAXIFS('Weekly Results'!$I$2:$I$2000,'Weekly Results'!$D$2:$D$2000,$B$3,'Weekly Results'!$C$2:$C$2000,5)=0,"",_xlfn.MAXIFS('Weekly Results'!$I$2:$I$2000,'Weekly Results'!$D$2:$D$2000,$B$3,'Weekly Results'!$C$2:$C$2000,5)))</f>
        <v/>
      </c>
    </row>
    <row r="23" spans="1:5" ht="15" customHeight="1" x14ac:dyDescent="0.35">
      <c r="A23" s="35">
        <v>6</v>
      </c>
      <c r="B23" s="36" t="str">
        <f>IF($B$3="","",IF(_xlfn.MAXIFS('Weekly Results'!$F$2:$F$2000,'Weekly Results'!$D$2:$D$2000,$B$3,'Weekly Results'!$C$2:$C$2000,6)=0,"",_xlfn.MAXIFS('Weekly Results'!$F$2:$F$2000,'Weekly Results'!$D$2:$D$2000,$B$3,'Weekly Results'!$C$2:$C$2000,6)))</f>
        <v/>
      </c>
      <c r="C23" s="37" t="str">
        <f>IF($B$3="","",IF(_xlfn.MAXIFS('Weekly Results'!$G$2:$G$2000,'Weekly Results'!$D$2:$D$2000,$B$3,'Weekly Results'!$C$2:$C$2000,6)=0,"",_xlfn.MAXIFS('Weekly Results'!$G$2:$G$2000,'Weekly Results'!$D$2:$D$2000,$B$3,'Weekly Results'!$C$2:$C$2000,6)))</f>
        <v/>
      </c>
      <c r="D23" s="37" t="str">
        <f>IF($B$3="","",IF(_xlfn.MAXIFS('Weekly Results'!$H$2:$H$2000,'Weekly Results'!$D$2:$D$2000,$B$3,'Weekly Results'!$C$2:$C$2000,6)=0,"",_xlfn.MAXIFS('Weekly Results'!$H$2:$H$2000,'Weekly Results'!$D$2:$D$2000,$B$3,'Weekly Results'!$C$2:$C$2000,6)))</f>
        <v/>
      </c>
      <c r="E23" s="37" t="str">
        <f>IF($B$3="","",IF(_xlfn.MAXIFS('Weekly Results'!$I$2:$I$2000,'Weekly Results'!$D$2:$D$2000,$B$3,'Weekly Results'!$C$2:$C$2000,6)=0,"",_xlfn.MAXIFS('Weekly Results'!$I$2:$I$2000,'Weekly Results'!$D$2:$D$2000,$B$3,'Weekly Results'!$C$2:$C$2000,6)))</f>
        <v/>
      </c>
    </row>
    <row r="24" spans="1:5" ht="15" customHeight="1" x14ac:dyDescent="0.35">
      <c r="A24" s="34">
        <v>7</v>
      </c>
      <c r="B24" s="29" t="str">
        <f>IF($B$3="","",IF(_xlfn.MAXIFS('Weekly Results'!$F$2:$F$2000,'Weekly Results'!$D$2:$D$2000,$B$3,'Weekly Results'!$C$2:$C$2000,7)=0,"",_xlfn.MAXIFS('Weekly Results'!$F$2:$F$2000,'Weekly Results'!$D$2:$D$2000,$B$3,'Weekly Results'!$C$2:$C$2000,7)))</f>
        <v/>
      </c>
      <c r="C24" s="32" t="str">
        <f>IF($B$3="","",IF(_xlfn.MAXIFS('Weekly Results'!$G$2:$G$2000,'Weekly Results'!$D$2:$D$2000,$B$3,'Weekly Results'!$C$2:$C$2000,7)=0,"",_xlfn.MAXIFS('Weekly Results'!$G$2:$G$2000,'Weekly Results'!$D$2:$D$2000,$B$3,'Weekly Results'!$C$2:$C$2000,7)))</f>
        <v/>
      </c>
      <c r="D24" s="32" t="str">
        <f>IF($B$3="","",IF(_xlfn.MAXIFS('Weekly Results'!$H$2:$H$2000,'Weekly Results'!$D$2:$D$2000,$B$3,'Weekly Results'!$C$2:$C$2000,7)=0,"",_xlfn.MAXIFS('Weekly Results'!$H$2:$H$2000,'Weekly Results'!$D$2:$D$2000,$B$3,'Weekly Results'!$C$2:$C$2000,7)))</f>
        <v/>
      </c>
      <c r="E24" s="32" t="str">
        <f>IF($B$3="","",IF(_xlfn.MAXIFS('Weekly Results'!$I$2:$I$2000,'Weekly Results'!$D$2:$D$2000,$B$3,'Weekly Results'!$C$2:$C$2000,7)=0,"",_xlfn.MAXIFS('Weekly Results'!$I$2:$I$2000,'Weekly Results'!$D$2:$D$2000,$B$3,'Weekly Results'!$C$2:$C$2000,7)))</f>
        <v/>
      </c>
    </row>
    <row r="25" spans="1:5" ht="15" customHeight="1" x14ac:dyDescent="0.35">
      <c r="A25" s="35">
        <v>8</v>
      </c>
      <c r="B25" s="36" t="str">
        <f>IF($B$3="","",IF(_xlfn.MAXIFS('Weekly Results'!$F$2:$F$2000,'Weekly Results'!$D$2:$D$2000,$B$3,'Weekly Results'!$C$2:$C$2000,8)=0,"",_xlfn.MAXIFS('Weekly Results'!$F$2:$F$2000,'Weekly Results'!$D$2:$D$2000,$B$3,'Weekly Results'!$C$2:$C$2000,8)))</f>
        <v/>
      </c>
      <c r="C25" s="37" t="str">
        <f>IF($B$3="","",IF(_xlfn.MAXIFS('Weekly Results'!$G$2:$G$2000,'Weekly Results'!$D$2:$D$2000,$B$3,'Weekly Results'!$C$2:$C$2000,8)=0,"",_xlfn.MAXIFS('Weekly Results'!$G$2:$G$2000,'Weekly Results'!$D$2:$D$2000,$B$3,'Weekly Results'!$C$2:$C$2000,8)))</f>
        <v/>
      </c>
      <c r="D25" s="37" t="str">
        <f>IF($B$3="","",IF(_xlfn.MAXIFS('Weekly Results'!$H$2:$H$2000,'Weekly Results'!$D$2:$D$2000,$B$3,'Weekly Results'!$C$2:$C$2000,8)=0,"",_xlfn.MAXIFS('Weekly Results'!$H$2:$H$2000,'Weekly Results'!$D$2:$D$2000,$B$3,'Weekly Results'!$C$2:$C$2000,8)))</f>
        <v/>
      </c>
      <c r="E25" s="37" t="str">
        <f>IF($B$3="","",IF(_xlfn.MAXIFS('Weekly Results'!$I$2:$I$2000,'Weekly Results'!$D$2:$D$2000,$B$3,'Weekly Results'!$C$2:$C$2000,8)=0,"",_xlfn.MAXIFS('Weekly Results'!$I$2:$I$2000,'Weekly Results'!$D$2:$D$2000,$B$3,'Weekly Results'!$C$2:$C$2000,8)))</f>
        <v/>
      </c>
    </row>
    <row r="26" spans="1:5" ht="15" customHeight="1" x14ac:dyDescent="0.35">
      <c r="A26" s="34">
        <v>9</v>
      </c>
      <c r="B26" s="29" t="str">
        <f>IF($B$3="","",IF(_xlfn.MAXIFS('Weekly Results'!$F$2:$F$2000,'Weekly Results'!$D$2:$D$2000,$B$3,'Weekly Results'!$C$2:$C$2000,9)=0,"",_xlfn.MAXIFS('Weekly Results'!$F$2:$F$2000,'Weekly Results'!$D$2:$D$2000,$B$3,'Weekly Results'!$C$2:$C$2000,9)))</f>
        <v/>
      </c>
      <c r="C26" s="32" t="str">
        <f>IF($B$3="","",IF(_xlfn.MAXIFS('Weekly Results'!$G$2:$G$2000,'Weekly Results'!$D$2:$D$2000,$B$3,'Weekly Results'!$C$2:$C$2000,9)=0,"",_xlfn.MAXIFS('Weekly Results'!$G$2:$G$2000,'Weekly Results'!$D$2:$D$2000,$B$3,'Weekly Results'!$C$2:$C$2000,9)))</f>
        <v/>
      </c>
      <c r="D26" s="32" t="str">
        <f>IF($B$3="","",IF(_xlfn.MAXIFS('Weekly Results'!$H$2:$H$2000,'Weekly Results'!$D$2:$D$2000,$B$3,'Weekly Results'!$C$2:$C$2000,9)=0,"",_xlfn.MAXIFS('Weekly Results'!$H$2:$H$2000,'Weekly Results'!$D$2:$D$2000,$B$3,'Weekly Results'!$C$2:$C$2000,9)))</f>
        <v/>
      </c>
      <c r="E26" s="32" t="str">
        <f>IF($B$3="","",IF(_xlfn.MAXIFS('Weekly Results'!$I$2:$I$2000,'Weekly Results'!$D$2:$D$2000,$B$3,'Weekly Results'!$C$2:$C$2000,9)=0,"",_xlfn.MAXIFS('Weekly Results'!$I$2:$I$2000,'Weekly Results'!$D$2:$D$2000,$B$3,'Weekly Results'!$C$2:$C$2000,9)))</f>
        <v/>
      </c>
    </row>
    <row r="27" spans="1:5" ht="15" customHeight="1" x14ac:dyDescent="0.35">
      <c r="A27" s="35">
        <v>10</v>
      </c>
      <c r="B27" s="36" t="str">
        <f>IF($B$3="","",IF(_xlfn.MAXIFS('Weekly Results'!$F$2:$F$2000,'Weekly Results'!$D$2:$D$2000,$B$3,'Weekly Results'!$C$2:$C$2000,10)=0,"",_xlfn.MAXIFS('Weekly Results'!$F$2:$F$2000,'Weekly Results'!$D$2:$D$2000,$B$3,'Weekly Results'!$C$2:$C$2000,10)))</f>
        <v/>
      </c>
      <c r="C27" s="37" t="str">
        <f>IF($B$3="","",IF(_xlfn.MAXIFS('Weekly Results'!$G$2:$G$2000,'Weekly Results'!$D$2:$D$2000,$B$3,'Weekly Results'!$C$2:$C$2000,10)=0,"",_xlfn.MAXIFS('Weekly Results'!$G$2:$G$2000,'Weekly Results'!$D$2:$D$2000,$B$3,'Weekly Results'!$C$2:$C$2000,10)))</f>
        <v/>
      </c>
      <c r="D27" s="37" t="str">
        <f>IF($B$3="","",IF(_xlfn.MAXIFS('Weekly Results'!$H$2:$H$2000,'Weekly Results'!$D$2:$D$2000,$B$3,'Weekly Results'!$C$2:$C$2000,10)=0,"",_xlfn.MAXIFS('Weekly Results'!$H$2:$H$2000,'Weekly Results'!$D$2:$D$2000,$B$3,'Weekly Results'!$C$2:$C$2000,10)))</f>
        <v/>
      </c>
      <c r="E27" s="37" t="str">
        <f>IF($B$3="","",IF(_xlfn.MAXIFS('Weekly Results'!$I$2:$I$2000,'Weekly Results'!$D$2:$D$2000,$B$3,'Weekly Results'!$C$2:$C$2000,10)=0,"",_xlfn.MAXIFS('Weekly Results'!$I$2:$I$2000,'Weekly Results'!$D$2:$D$2000,$B$3,'Weekly Results'!$C$2:$C$2000,10)))</f>
        <v/>
      </c>
    </row>
    <row r="28" spans="1:5" ht="15" customHeight="1" x14ac:dyDescent="0.35">
      <c r="A28" s="34">
        <v>11</v>
      </c>
      <c r="B28" s="29" t="str">
        <f>IF($B$3="","",IF(_xlfn.MAXIFS('Weekly Results'!$F$2:$F$2000,'Weekly Results'!$D$2:$D$2000,$B$3,'Weekly Results'!$C$2:$C$2000,11)=0,"",_xlfn.MAXIFS('Weekly Results'!$F$2:$F$2000,'Weekly Results'!$D$2:$D$2000,$B$3,'Weekly Results'!$C$2:$C$2000,11)))</f>
        <v/>
      </c>
      <c r="C28" s="32" t="str">
        <f>IF($B$3="","",IF(_xlfn.MAXIFS('Weekly Results'!$G$2:$G$2000,'Weekly Results'!$D$2:$D$2000,$B$3,'Weekly Results'!$C$2:$C$2000,11)=0,"",_xlfn.MAXIFS('Weekly Results'!$G$2:$G$2000,'Weekly Results'!$D$2:$D$2000,$B$3,'Weekly Results'!$C$2:$C$2000,11)))</f>
        <v/>
      </c>
      <c r="D28" s="32" t="str">
        <f>IF($B$3="","",IF(_xlfn.MAXIFS('Weekly Results'!$H$2:$H$2000,'Weekly Results'!$D$2:$D$2000,$B$3,'Weekly Results'!$C$2:$C$2000,11)=0,"",_xlfn.MAXIFS('Weekly Results'!$H$2:$H$2000,'Weekly Results'!$D$2:$D$2000,$B$3,'Weekly Results'!$C$2:$C$2000,11)))</f>
        <v/>
      </c>
      <c r="E28" s="32" t="str">
        <f>IF($B$3="","",IF(_xlfn.MAXIFS('Weekly Results'!$I$2:$I$2000,'Weekly Results'!$D$2:$D$2000,$B$3,'Weekly Results'!$C$2:$C$2000,11)=0,"",_xlfn.MAXIFS('Weekly Results'!$I$2:$I$2000,'Weekly Results'!$D$2:$D$2000,$B$3,'Weekly Results'!$C$2:$C$2000,11)))</f>
        <v/>
      </c>
    </row>
    <row r="29" spans="1:5" ht="15" customHeight="1" x14ac:dyDescent="0.35">
      <c r="A29" s="35">
        <v>12</v>
      </c>
      <c r="B29" s="36" t="str">
        <f>IF($B$3="","",IF(_xlfn.MAXIFS('Weekly Results'!$F$2:$F$2000,'Weekly Results'!$D$2:$D$2000,$B$3,'Weekly Results'!$C$2:$C$2000,12)=0,"",_xlfn.MAXIFS('Weekly Results'!$F$2:$F$2000,'Weekly Results'!$D$2:$D$2000,$B$3,'Weekly Results'!$C$2:$C$2000,12)))</f>
        <v/>
      </c>
      <c r="C29" s="37" t="str">
        <f>IF($B$3="","",IF(_xlfn.MAXIFS('Weekly Results'!$G$2:$G$2000,'Weekly Results'!$D$2:$D$2000,$B$3,'Weekly Results'!$C$2:$C$2000,12)=0,"",_xlfn.MAXIFS('Weekly Results'!$G$2:$G$2000,'Weekly Results'!$D$2:$D$2000,$B$3,'Weekly Results'!$C$2:$C$2000,12)))</f>
        <v/>
      </c>
      <c r="D29" s="37" t="str">
        <f>IF($B$3="","",IF(_xlfn.MAXIFS('Weekly Results'!$H$2:$H$2000,'Weekly Results'!$D$2:$D$2000,$B$3,'Weekly Results'!$C$2:$C$2000,12)=0,"",_xlfn.MAXIFS('Weekly Results'!$H$2:$H$2000,'Weekly Results'!$D$2:$D$2000,$B$3,'Weekly Results'!$C$2:$C$2000,12)))</f>
        <v/>
      </c>
      <c r="E29" s="37" t="str">
        <f>IF($B$3="","",IF(_xlfn.MAXIFS('Weekly Results'!$I$2:$I$2000,'Weekly Results'!$D$2:$D$2000,$B$3,'Weekly Results'!$C$2:$C$2000,12)=0,"",_xlfn.MAXIFS('Weekly Results'!$I$2:$I$2000,'Weekly Results'!$D$2:$D$2000,$B$3,'Weekly Results'!$C$2:$C$2000,12)))</f>
        <v/>
      </c>
    </row>
    <row r="30" spans="1:5" ht="15" customHeight="1" x14ac:dyDescent="0.35">
      <c r="A30" s="34">
        <v>13</v>
      </c>
      <c r="B30" s="29" t="str">
        <f>IF($B$3="","",IF(_xlfn.MAXIFS('Weekly Results'!$F$2:$F$2000,'Weekly Results'!$D$2:$D$2000,$B$3,'Weekly Results'!$C$2:$C$2000,13)=0,"",_xlfn.MAXIFS('Weekly Results'!$F$2:$F$2000,'Weekly Results'!$D$2:$D$2000,$B$3,'Weekly Results'!$C$2:$C$2000,13)))</f>
        <v/>
      </c>
      <c r="C30" s="32" t="str">
        <f>IF($B$3="","",IF(_xlfn.MAXIFS('Weekly Results'!$G$2:$G$2000,'Weekly Results'!$D$2:$D$2000,$B$3,'Weekly Results'!$C$2:$C$2000,13)=0,"",_xlfn.MAXIFS('Weekly Results'!$G$2:$G$2000,'Weekly Results'!$D$2:$D$2000,$B$3,'Weekly Results'!$C$2:$C$2000,13)))</f>
        <v/>
      </c>
      <c r="D30" s="32" t="str">
        <f>IF($B$3="","",IF(_xlfn.MAXIFS('Weekly Results'!$H$2:$H$2000,'Weekly Results'!$D$2:$D$2000,$B$3,'Weekly Results'!$C$2:$C$2000,13)=0,"",_xlfn.MAXIFS('Weekly Results'!$H$2:$H$2000,'Weekly Results'!$D$2:$D$2000,$B$3,'Weekly Results'!$C$2:$C$2000,13)))</f>
        <v/>
      </c>
      <c r="E30" s="32" t="str">
        <f>IF($B$3="","",IF(_xlfn.MAXIFS('Weekly Results'!$I$2:$I$2000,'Weekly Results'!$D$2:$D$2000,$B$3,'Weekly Results'!$C$2:$C$2000,13)=0,"",_xlfn.MAXIFS('Weekly Results'!$I$2:$I$2000,'Weekly Results'!$D$2:$D$2000,$B$3,'Weekly Results'!$C$2:$C$2000,13)))</f>
        <v/>
      </c>
    </row>
    <row r="31" spans="1:5" ht="15" customHeight="1" x14ac:dyDescent="0.35">
      <c r="A31" s="35">
        <v>14</v>
      </c>
      <c r="B31" s="36" t="str">
        <f>IF($B$3="","",IF(_xlfn.MAXIFS('Weekly Results'!$F$2:$F$2000,'Weekly Results'!$D$2:$D$2000,$B$3,'Weekly Results'!$C$2:$C$2000,14)=0,"",_xlfn.MAXIFS('Weekly Results'!$F$2:$F$2000,'Weekly Results'!$D$2:$D$2000,$B$3,'Weekly Results'!$C$2:$C$2000,14)))</f>
        <v/>
      </c>
      <c r="C31" s="37" t="str">
        <f>IF($B$3="","",IF(_xlfn.MAXIFS('Weekly Results'!$G$2:$G$2000,'Weekly Results'!$D$2:$D$2000,$B$3,'Weekly Results'!$C$2:$C$2000,14)=0,"",_xlfn.MAXIFS('Weekly Results'!$G$2:$G$2000,'Weekly Results'!$D$2:$D$2000,$B$3,'Weekly Results'!$C$2:$C$2000,14)))</f>
        <v/>
      </c>
      <c r="D31" s="37" t="str">
        <f>IF($B$3="","",IF(_xlfn.MAXIFS('Weekly Results'!$H$2:$H$2000,'Weekly Results'!$D$2:$D$2000,$B$3,'Weekly Results'!$C$2:$C$2000,14)=0,"",_xlfn.MAXIFS('Weekly Results'!$H$2:$H$2000,'Weekly Results'!$D$2:$D$2000,$B$3,'Weekly Results'!$C$2:$C$2000,14)))</f>
        <v/>
      </c>
      <c r="E31" s="37" t="str">
        <f>IF($B$3="","",IF(_xlfn.MAXIFS('Weekly Results'!$I$2:$I$2000,'Weekly Results'!$D$2:$D$2000,$B$3,'Weekly Results'!$C$2:$C$2000,14)=0,"",_xlfn.MAXIFS('Weekly Results'!$I$2:$I$2000,'Weekly Results'!$D$2:$D$2000,$B$3,'Weekly Results'!$C$2:$C$2000,14)))</f>
        <v/>
      </c>
    </row>
    <row r="32" spans="1:5" ht="15" customHeight="1" x14ac:dyDescent="0.35">
      <c r="A32" s="34">
        <v>15</v>
      </c>
      <c r="B32" s="29" t="str">
        <f>IF($B$3="","",IF(_xlfn.MAXIFS('Weekly Results'!$F$2:$F$2000,'Weekly Results'!$D$2:$D$2000,$B$3,'Weekly Results'!$C$2:$C$2000,15)=0,"",_xlfn.MAXIFS('Weekly Results'!$F$2:$F$2000,'Weekly Results'!$D$2:$D$2000,$B$3,'Weekly Results'!$C$2:$C$2000,15)))</f>
        <v/>
      </c>
      <c r="C32" s="32" t="str">
        <f>IF($B$3="","",IF(_xlfn.MAXIFS('Weekly Results'!$G$2:$G$2000,'Weekly Results'!$D$2:$D$2000,$B$3,'Weekly Results'!$C$2:$C$2000,15)=0,"",_xlfn.MAXIFS('Weekly Results'!$G$2:$G$2000,'Weekly Results'!$D$2:$D$2000,$B$3,'Weekly Results'!$C$2:$C$2000,15)))</f>
        <v/>
      </c>
      <c r="D32" s="32" t="str">
        <f>IF($B$3="","",IF(_xlfn.MAXIFS('Weekly Results'!$H$2:$H$2000,'Weekly Results'!$D$2:$D$2000,$B$3,'Weekly Results'!$C$2:$C$2000,15)=0,"",_xlfn.MAXIFS('Weekly Results'!$H$2:$H$2000,'Weekly Results'!$D$2:$D$2000,$B$3,'Weekly Results'!$C$2:$C$2000,15)))</f>
        <v/>
      </c>
      <c r="E32" s="32" t="str">
        <f>IF($B$3="","",IF(_xlfn.MAXIFS('Weekly Results'!$I$2:$I$2000,'Weekly Results'!$D$2:$D$2000,$B$3,'Weekly Results'!$C$2:$C$2000,15)=0,"",_xlfn.MAXIFS('Weekly Results'!$I$2:$I$2000,'Weekly Results'!$D$2:$D$2000,$B$3,'Weekly Results'!$C$2:$C$2000,15)))</f>
        <v/>
      </c>
    </row>
    <row r="33" spans="1:5" ht="15" customHeight="1" x14ac:dyDescent="0.35">
      <c r="A33" s="35">
        <v>16</v>
      </c>
      <c r="B33" s="36" t="str">
        <f>IF($B$3="","",IF(_xlfn.MAXIFS('Weekly Results'!$F$2:$F$2000,'Weekly Results'!$D$2:$D$2000,$B$3,'Weekly Results'!$C$2:$C$2000,16)=0,"",_xlfn.MAXIFS('Weekly Results'!$F$2:$F$2000,'Weekly Results'!$D$2:$D$2000,$B$3,'Weekly Results'!$C$2:$C$2000,16)))</f>
        <v/>
      </c>
      <c r="C33" s="37" t="str">
        <f>IF($B$3="","",IF(_xlfn.MAXIFS('Weekly Results'!$G$2:$G$2000,'Weekly Results'!$D$2:$D$2000,$B$3,'Weekly Results'!$C$2:$C$2000,16)=0,"",_xlfn.MAXIFS('Weekly Results'!$G$2:$G$2000,'Weekly Results'!$D$2:$D$2000,$B$3,'Weekly Results'!$C$2:$C$2000,16)))</f>
        <v/>
      </c>
      <c r="D33" s="37" t="str">
        <f>IF($B$3="","",IF(_xlfn.MAXIFS('Weekly Results'!$H$2:$H$2000,'Weekly Results'!$D$2:$D$2000,$B$3,'Weekly Results'!$C$2:$C$2000,16)=0,"",_xlfn.MAXIFS('Weekly Results'!$H$2:$H$2000,'Weekly Results'!$D$2:$D$2000,$B$3,'Weekly Results'!$C$2:$C$2000,16)))</f>
        <v/>
      </c>
      <c r="E33" s="37" t="str">
        <f>IF($B$3="","",IF(_xlfn.MAXIFS('Weekly Results'!$I$2:$I$2000,'Weekly Results'!$D$2:$D$2000,$B$3,'Weekly Results'!$C$2:$C$2000,16)=0,"",_xlfn.MAXIFS('Weekly Results'!$I$2:$I$2000,'Weekly Results'!$D$2:$D$2000,$B$3,'Weekly Results'!$C$2:$C$2000,16)))</f>
        <v/>
      </c>
    </row>
  </sheetData>
  <dataValidations count="1">
    <dataValidation type="list" allowBlank="1" sqref="B3" xr:uid="{00000000-0002-0000-0600-000000000000}">
      <formula1>AthleteIDs</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7"/>
  <sheetViews>
    <sheetView topLeftCell="A3" zoomScaleNormal="100" workbookViewId="0"/>
  </sheetViews>
  <sheetFormatPr defaultColWidth="8.6328125" defaultRowHeight="14.5" x14ac:dyDescent="0.35"/>
  <cols>
    <col min="1" max="1" width="14" style="1" customWidth="1"/>
    <col min="2" max="3" width="13" style="1" customWidth="1"/>
    <col min="4" max="4" width="15" style="1" customWidth="1"/>
    <col min="5" max="5" width="14" style="1" customWidth="1"/>
    <col min="6" max="7" width="13" style="1" customWidth="1"/>
    <col min="8" max="8" width="16" style="1" customWidth="1"/>
    <col min="9" max="9" width="15" style="1" customWidth="1"/>
  </cols>
  <sheetData>
    <row r="1" spans="1:9" ht="17.25" customHeight="1" x14ac:dyDescent="0.4">
      <c r="A1" s="25" t="s">
        <v>202</v>
      </c>
    </row>
    <row r="3" spans="1:9" ht="15" customHeight="1" x14ac:dyDescent="0.35">
      <c r="A3" s="13" t="s">
        <v>187</v>
      </c>
      <c r="B3" s="26" t="s">
        <v>94</v>
      </c>
      <c r="C3" s="27" t="str">
        <f>IFERROR(INDEX(Athletes!$B$2:$B$40,MATCH($B$3,Athletes!$A$2:$A$40,0)),"")</f>
        <v>Sample Athlete A</v>
      </c>
    </row>
    <row r="5" spans="1:9" ht="15" customHeight="1" x14ac:dyDescent="0.35">
      <c r="A5" s="6" t="s">
        <v>203</v>
      </c>
      <c r="B5" s="6" t="s">
        <v>204</v>
      </c>
      <c r="C5" s="6" t="s">
        <v>205</v>
      </c>
      <c r="D5" s="6" t="s">
        <v>166</v>
      </c>
      <c r="E5" s="6" t="s">
        <v>206</v>
      </c>
      <c r="F5" s="6" t="s">
        <v>207</v>
      </c>
      <c r="G5" s="6" t="s">
        <v>208</v>
      </c>
      <c r="H5" s="6" t="s">
        <v>209</v>
      </c>
      <c r="I5" s="6" t="s">
        <v>210</v>
      </c>
    </row>
    <row r="6" spans="1:9" ht="15" customHeight="1" x14ac:dyDescent="0.35">
      <c r="A6" s="35" t="s">
        <v>211</v>
      </c>
      <c r="B6" s="38">
        <v>46266</v>
      </c>
      <c r="C6" s="39">
        <f t="shared" ref="C6:C17" si="0">EOMONTH(B6,0)</f>
        <v>46295</v>
      </c>
      <c r="D6" s="36">
        <f>IF($I6=0,"",_xlfn.MAXIFS('Weekly Results'!$F$2:$F$2000,'Weekly Results'!$D$2:$D$2000,$B$3,'Weekly Results'!$B$2:$B$2000,"&gt;="&amp;$B6,'Weekly Results'!$B$2:$B$2000,"&lt;="&amp;$C6))</f>
        <v>15.32</v>
      </c>
      <c r="E6" s="36">
        <f>IF($I6=0,"",AVERAGEIFS('Weekly Results'!$F$2:$F$2000,'Weekly Results'!$D$2:$D$2000,$B$3,'Weekly Results'!$B$2:$B$2000,"&gt;="&amp;$B6,'Weekly Results'!$B$2:$B$2000,"&lt;="&amp;$C6))</f>
        <v>15.156666666666666</v>
      </c>
      <c r="F6" s="37">
        <f>IF($I6=0,"",_xlfn.MAXIFS('Weekly Results'!$G$2:$G$2000,'Weekly Results'!$D$2:$D$2000,$B$3,'Weekly Results'!$B$2:$B$2000,"&gt;="&amp;$B6,'Weekly Results'!$B$2:$B$2000,"&lt;="&amp;$C6))</f>
        <v>182.5</v>
      </c>
      <c r="G6" s="37">
        <f>IF($I6=0,"",_xlfn.MAXIFS('Weekly Results'!$H$2:$H$2000,'Weekly Results'!$D$2:$D$2000,$B$3,'Weekly Results'!$B$2:$B$2000,"&gt;="&amp;$B6,'Weekly Results'!$B$2:$B$2000,"&lt;="&amp;$C6))</f>
        <v>122.5</v>
      </c>
      <c r="H6" s="37">
        <f>IF($I6=0,"",_xlfn.MAXIFS('Weekly Results'!$I$2:$I$2000,'Weekly Results'!$D$2:$D$2000,$B$3,'Weekly Results'!$B$2:$B$2000,"&gt;="&amp;$B6,'Weekly Results'!$B$2:$B$2000,"&lt;="&amp;$C6))</f>
        <v>102.5</v>
      </c>
      <c r="I6" s="40">
        <f>COUNTIFS('Weekly Results'!$D$2:$D$2000,$B$3,'Weekly Results'!$B$2:$B$2000,"&gt;="&amp;$B6,'Weekly Results'!$B$2:$B$2000,"&lt;="&amp;$C6)</f>
        <v>3</v>
      </c>
    </row>
    <row r="7" spans="1:9" ht="15" customHeight="1" x14ac:dyDescent="0.35">
      <c r="A7" s="34" t="s">
        <v>212</v>
      </c>
      <c r="B7" s="41">
        <v>46296</v>
      </c>
      <c r="C7" s="17">
        <f t="shared" si="0"/>
        <v>46326</v>
      </c>
      <c r="D7" s="29">
        <f>IF($I7=0,"",_xlfn.MAXIFS('Weekly Results'!$F$2:$F$2000,'Weekly Results'!$D$2:$D$2000,$B$3,'Weekly Results'!$B$2:$B$2000,"&gt;="&amp;$B7,'Weekly Results'!$B$2:$B$2000,"&lt;="&amp;$C7))</f>
        <v>15.48</v>
      </c>
      <c r="E7" s="29">
        <f>IF($I7=0,"",AVERAGEIFS('Weekly Results'!$F$2:$F$2000,'Weekly Results'!$D$2:$D$2000,$B$3,'Weekly Results'!$B$2:$B$2000,"&gt;="&amp;$B7,'Weekly Results'!$B$2:$B$2000,"&lt;="&amp;$C7))</f>
        <v>15.48</v>
      </c>
      <c r="F7" s="32">
        <f>IF($I7=0,"",_xlfn.MAXIFS('Weekly Results'!$G$2:$G$2000,'Weekly Results'!$D$2:$D$2000,$B$3,'Weekly Results'!$B$2:$B$2000,"&gt;="&amp;$B7,'Weekly Results'!$B$2:$B$2000,"&lt;="&amp;$C7))</f>
        <v>185</v>
      </c>
      <c r="G7" s="32">
        <f>IF($I7=0,"",_xlfn.MAXIFS('Weekly Results'!$H$2:$H$2000,'Weekly Results'!$D$2:$D$2000,$B$3,'Weekly Results'!$B$2:$B$2000,"&gt;="&amp;$B7,'Weekly Results'!$B$2:$B$2000,"&lt;="&amp;$C7))</f>
        <v>122.5</v>
      </c>
      <c r="H7" s="32">
        <f>IF($I7=0,"",_xlfn.MAXIFS('Weekly Results'!$I$2:$I$2000,'Weekly Results'!$D$2:$D$2000,$B$3,'Weekly Results'!$B$2:$B$2000,"&gt;="&amp;$B7,'Weekly Results'!$B$2:$B$2000,"&lt;="&amp;$C7))</f>
        <v>105</v>
      </c>
      <c r="I7" s="16">
        <f>COUNTIFS('Weekly Results'!$D$2:$D$2000,$B$3,'Weekly Results'!$B$2:$B$2000,"&gt;="&amp;$B7,'Weekly Results'!$B$2:$B$2000,"&lt;="&amp;$C7)</f>
        <v>1</v>
      </c>
    </row>
    <row r="8" spans="1:9" ht="15" customHeight="1" x14ac:dyDescent="0.35">
      <c r="A8" s="35" t="s">
        <v>213</v>
      </c>
      <c r="B8" s="38">
        <v>46327</v>
      </c>
      <c r="C8" s="39">
        <f t="shared" si="0"/>
        <v>46356</v>
      </c>
      <c r="D8" s="36" t="str">
        <f>IF($I8=0,"",_xlfn.MAXIFS('Weekly Results'!$F$2:$F$2000,'Weekly Results'!$D$2:$D$2000,$B$3,'Weekly Results'!$B$2:$B$2000,"&gt;="&amp;$B8,'Weekly Results'!$B$2:$B$2000,"&lt;="&amp;$C8))</f>
        <v/>
      </c>
      <c r="E8" s="36" t="str">
        <f>IF($I8=0,"",AVERAGEIFS('Weekly Results'!$F$2:$F$2000,'Weekly Results'!$D$2:$D$2000,$B$3,'Weekly Results'!$B$2:$B$2000,"&gt;="&amp;$B8,'Weekly Results'!$B$2:$B$2000,"&lt;="&amp;$C8))</f>
        <v/>
      </c>
      <c r="F8" s="37" t="str">
        <f>IF($I8=0,"",_xlfn.MAXIFS('Weekly Results'!$G$2:$G$2000,'Weekly Results'!$D$2:$D$2000,$B$3,'Weekly Results'!$B$2:$B$2000,"&gt;="&amp;$B8,'Weekly Results'!$B$2:$B$2000,"&lt;="&amp;$C8))</f>
        <v/>
      </c>
      <c r="G8" s="37" t="str">
        <f>IF($I8=0,"",_xlfn.MAXIFS('Weekly Results'!$H$2:$H$2000,'Weekly Results'!$D$2:$D$2000,$B$3,'Weekly Results'!$B$2:$B$2000,"&gt;="&amp;$B8,'Weekly Results'!$B$2:$B$2000,"&lt;="&amp;$C8))</f>
        <v/>
      </c>
      <c r="H8" s="37" t="str">
        <f>IF($I8=0,"",_xlfn.MAXIFS('Weekly Results'!$I$2:$I$2000,'Weekly Results'!$D$2:$D$2000,$B$3,'Weekly Results'!$B$2:$B$2000,"&gt;="&amp;$B8,'Weekly Results'!$B$2:$B$2000,"&lt;="&amp;$C8))</f>
        <v/>
      </c>
      <c r="I8" s="40">
        <f>COUNTIFS('Weekly Results'!$D$2:$D$2000,$B$3,'Weekly Results'!$B$2:$B$2000,"&gt;="&amp;$B8,'Weekly Results'!$B$2:$B$2000,"&lt;="&amp;$C8)</f>
        <v>0</v>
      </c>
    </row>
    <row r="9" spans="1:9" ht="15" customHeight="1" x14ac:dyDescent="0.35">
      <c r="A9" s="34" t="s">
        <v>214</v>
      </c>
      <c r="B9" s="41">
        <v>46357</v>
      </c>
      <c r="C9" s="17">
        <f t="shared" si="0"/>
        <v>46387</v>
      </c>
      <c r="D9" s="29" t="str">
        <f>IF($I9=0,"",_xlfn.MAXIFS('Weekly Results'!$F$2:$F$2000,'Weekly Results'!$D$2:$D$2000,$B$3,'Weekly Results'!$B$2:$B$2000,"&gt;="&amp;$B9,'Weekly Results'!$B$2:$B$2000,"&lt;="&amp;$C9))</f>
        <v/>
      </c>
      <c r="E9" s="29" t="str">
        <f>IF($I9=0,"",AVERAGEIFS('Weekly Results'!$F$2:$F$2000,'Weekly Results'!$D$2:$D$2000,$B$3,'Weekly Results'!$B$2:$B$2000,"&gt;="&amp;$B9,'Weekly Results'!$B$2:$B$2000,"&lt;="&amp;$C9))</f>
        <v/>
      </c>
      <c r="F9" s="32" t="str">
        <f>IF($I9=0,"",_xlfn.MAXIFS('Weekly Results'!$G$2:$G$2000,'Weekly Results'!$D$2:$D$2000,$B$3,'Weekly Results'!$B$2:$B$2000,"&gt;="&amp;$B9,'Weekly Results'!$B$2:$B$2000,"&lt;="&amp;$C9))</f>
        <v/>
      </c>
      <c r="G9" s="32" t="str">
        <f>IF($I9=0,"",_xlfn.MAXIFS('Weekly Results'!$H$2:$H$2000,'Weekly Results'!$D$2:$D$2000,$B$3,'Weekly Results'!$B$2:$B$2000,"&gt;="&amp;$B9,'Weekly Results'!$B$2:$B$2000,"&lt;="&amp;$C9))</f>
        <v/>
      </c>
      <c r="H9" s="32" t="str">
        <f>IF($I9=0,"",_xlfn.MAXIFS('Weekly Results'!$I$2:$I$2000,'Weekly Results'!$D$2:$D$2000,$B$3,'Weekly Results'!$B$2:$B$2000,"&gt;="&amp;$B9,'Weekly Results'!$B$2:$B$2000,"&lt;="&amp;$C9))</f>
        <v/>
      </c>
      <c r="I9" s="16">
        <f>COUNTIFS('Weekly Results'!$D$2:$D$2000,$B$3,'Weekly Results'!$B$2:$B$2000,"&gt;="&amp;$B9,'Weekly Results'!$B$2:$B$2000,"&lt;="&amp;$C9)</f>
        <v>0</v>
      </c>
    </row>
    <row r="10" spans="1:9" ht="15" customHeight="1" x14ac:dyDescent="0.35">
      <c r="A10" s="35" t="s">
        <v>215</v>
      </c>
      <c r="B10" s="38">
        <v>46388</v>
      </c>
      <c r="C10" s="39">
        <f t="shared" si="0"/>
        <v>46418</v>
      </c>
      <c r="D10" s="36" t="str">
        <f>IF($I10=0,"",_xlfn.MAXIFS('Weekly Results'!$F$2:$F$2000,'Weekly Results'!$D$2:$D$2000,$B$3,'Weekly Results'!$B$2:$B$2000,"&gt;="&amp;$B10,'Weekly Results'!$B$2:$B$2000,"&lt;="&amp;$C10))</f>
        <v/>
      </c>
      <c r="E10" s="36" t="str">
        <f>IF($I10=0,"",AVERAGEIFS('Weekly Results'!$F$2:$F$2000,'Weekly Results'!$D$2:$D$2000,$B$3,'Weekly Results'!$B$2:$B$2000,"&gt;="&amp;$B10,'Weekly Results'!$B$2:$B$2000,"&lt;="&amp;$C10))</f>
        <v/>
      </c>
      <c r="F10" s="37" t="str">
        <f>IF($I10=0,"",_xlfn.MAXIFS('Weekly Results'!$G$2:$G$2000,'Weekly Results'!$D$2:$D$2000,$B$3,'Weekly Results'!$B$2:$B$2000,"&gt;="&amp;$B10,'Weekly Results'!$B$2:$B$2000,"&lt;="&amp;$C10))</f>
        <v/>
      </c>
      <c r="G10" s="37" t="str">
        <f>IF($I10=0,"",_xlfn.MAXIFS('Weekly Results'!$H$2:$H$2000,'Weekly Results'!$D$2:$D$2000,$B$3,'Weekly Results'!$B$2:$B$2000,"&gt;="&amp;$B10,'Weekly Results'!$B$2:$B$2000,"&lt;="&amp;$C10))</f>
        <v/>
      </c>
      <c r="H10" s="37" t="str">
        <f>IF($I10=0,"",_xlfn.MAXIFS('Weekly Results'!$I$2:$I$2000,'Weekly Results'!$D$2:$D$2000,$B$3,'Weekly Results'!$B$2:$B$2000,"&gt;="&amp;$B10,'Weekly Results'!$B$2:$B$2000,"&lt;="&amp;$C10))</f>
        <v/>
      </c>
      <c r="I10" s="40">
        <f>COUNTIFS('Weekly Results'!$D$2:$D$2000,$B$3,'Weekly Results'!$B$2:$B$2000,"&gt;="&amp;$B10,'Weekly Results'!$B$2:$B$2000,"&lt;="&amp;$C10)</f>
        <v>0</v>
      </c>
    </row>
    <row r="11" spans="1:9" ht="15" customHeight="1" x14ac:dyDescent="0.35">
      <c r="A11" s="34" t="s">
        <v>216</v>
      </c>
      <c r="B11" s="41">
        <v>46419</v>
      </c>
      <c r="C11" s="17">
        <f t="shared" si="0"/>
        <v>46446</v>
      </c>
      <c r="D11" s="29" t="str">
        <f>IF($I11=0,"",_xlfn.MAXIFS('Weekly Results'!$F$2:$F$2000,'Weekly Results'!$D$2:$D$2000,$B$3,'Weekly Results'!$B$2:$B$2000,"&gt;="&amp;$B11,'Weekly Results'!$B$2:$B$2000,"&lt;="&amp;$C11))</f>
        <v/>
      </c>
      <c r="E11" s="29" t="str">
        <f>IF($I11=0,"",AVERAGEIFS('Weekly Results'!$F$2:$F$2000,'Weekly Results'!$D$2:$D$2000,$B$3,'Weekly Results'!$B$2:$B$2000,"&gt;="&amp;$B11,'Weekly Results'!$B$2:$B$2000,"&lt;="&amp;$C11))</f>
        <v/>
      </c>
      <c r="F11" s="32" t="str">
        <f>IF($I11=0,"",_xlfn.MAXIFS('Weekly Results'!$G$2:$G$2000,'Weekly Results'!$D$2:$D$2000,$B$3,'Weekly Results'!$B$2:$B$2000,"&gt;="&amp;$B11,'Weekly Results'!$B$2:$B$2000,"&lt;="&amp;$C11))</f>
        <v/>
      </c>
      <c r="G11" s="32" t="str">
        <f>IF($I11=0,"",_xlfn.MAXIFS('Weekly Results'!$H$2:$H$2000,'Weekly Results'!$D$2:$D$2000,$B$3,'Weekly Results'!$B$2:$B$2000,"&gt;="&amp;$B11,'Weekly Results'!$B$2:$B$2000,"&lt;="&amp;$C11))</f>
        <v/>
      </c>
      <c r="H11" s="32" t="str">
        <f>IF($I11=0,"",_xlfn.MAXIFS('Weekly Results'!$I$2:$I$2000,'Weekly Results'!$D$2:$D$2000,$B$3,'Weekly Results'!$B$2:$B$2000,"&gt;="&amp;$B11,'Weekly Results'!$B$2:$B$2000,"&lt;="&amp;$C11))</f>
        <v/>
      </c>
      <c r="I11" s="16">
        <f>COUNTIFS('Weekly Results'!$D$2:$D$2000,$B$3,'Weekly Results'!$B$2:$B$2000,"&gt;="&amp;$B11,'Weekly Results'!$B$2:$B$2000,"&lt;="&amp;$C11)</f>
        <v>0</v>
      </c>
    </row>
    <row r="12" spans="1:9" ht="15" customHeight="1" x14ac:dyDescent="0.35">
      <c r="A12" s="35" t="s">
        <v>217</v>
      </c>
      <c r="B12" s="38">
        <v>46447</v>
      </c>
      <c r="C12" s="39">
        <f t="shared" si="0"/>
        <v>46477</v>
      </c>
      <c r="D12" s="36" t="str">
        <f>IF($I12=0,"",_xlfn.MAXIFS('Weekly Results'!$F$2:$F$2000,'Weekly Results'!$D$2:$D$2000,$B$3,'Weekly Results'!$B$2:$B$2000,"&gt;="&amp;$B12,'Weekly Results'!$B$2:$B$2000,"&lt;="&amp;$C12))</f>
        <v/>
      </c>
      <c r="E12" s="36" t="str">
        <f>IF($I12=0,"",AVERAGEIFS('Weekly Results'!$F$2:$F$2000,'Weekly Results'!$D$2:$D$2000,$B$3,'Weekly Results'!$B$2:$B$2000,"&gt;="&amp;$B12,'Weekly Results'!$B$2:$B$2000,"&lt;="&amp;$C12))</f>
        <v/>
      </c>
      <c r="F12" s="37" t="str">
        <f>IF($I12=0,"",_xlfn.MAXIFS('Weekly Results'!$G$2:$G$2000,'Weekly Results'!$D$2:$D$2000,$B$3,'Weekly Results'!$B$2:$B$2000,"&gt;="&amp;$B12,'Weekly Results'!$B$2:$B$2000,"&lt;="&amp;$C12))</f>
        <v/>
      </c>
      <c r="G12" s="37" t="str">
        <f>IF($I12=0,"",_xlfn.MAXIFS('Weekly Results'!$H$2:$H$2000,'Weekly Results'!$D$2:$D$2000,$B$3,'Weekly Results'!$B$2:$B$2000,"&gt;="&amp;$B12,'Weekly Results'!$B$2:$B$2000,"&lt;="&amp;$C12))</f>
        <v/>
      </c>
      <c r="H12" s="37" t="str">
        <f>IF($I12=0,"",_xlfn.MAXIFS('Weekly Results'!$I$2:$I$2000,'Weekly Results'!$D$2:$D$2000,$B$3,'Weekly Results'!$B$2:$B$2000,"&gt;="&amp;$B12,'Weekly Results'!$B$2:$B$2000,"&lt;="&amp;$C12))</f>
        <v/>
      </c>
      <c r="I12" s="40">
        <f>COUNTIFS('Weekly Results'!$D$2:$D$2000,$B$3,'Weekly Results'!$B$2:$B$2000,"&gt;="&amp;$B12,'Weekly Results'!$B$2:$B$2000,"&lt;="&amp;$C12)</f>
        <v>0</v>
      </c>
    </row>
    <row r="13" spans="1:9" ht="15" customHeight="1" x14ac:dyDescent="0.35">
      <c r="A13" s="34" t="s">
        <v>218</v>
      </c>
      <c r="B13" s="41">
        <v>46478</v>
      </c>
      <c r="C13" s="17">
        <f t="shared" si="0"/>
        <v>46507</v>
      </c>
      <c r="D13" s="29" t="str">
        <f>IF($I13=0,"",_xlfn.MAXIFS('Weekly Results'!$F$2:$F$2000,'Weekly Results'!$D$2:$D$2000,$B$3,'Weekly Results'!$B$2:$B$2000,"&gt;="&amp;$B13,'Weekly Results'!$B$2:$B$2000,"&lt;="&amp;$C13))</f>
        <v/>
      </c>
      <c r="E13" s="29" t="str">
        <f>IF($I13=0,"",AVERAGEIFS('Weekly Results'!$F$2:$F$2000,'Weekly Results'!$D$2:$D$2000,$B$3,'Weekly Results'!$B$2:$B$2000,"&gt;="&amp;$B13,'Weekly Results'!$B$2:$B$2000,"&lt;="&amp;$C13))</f>
        <v/>
      </c>
      <c r="F13" s="32" t="str">
        <f>IF($I13=0,"",_xlfn.MAXIFS('Weekly Results'!$G$2:$G$2000,'Weekly Results'!$D$2:$D$2000,$B$3,'Weekly Results'!$B$2:$B$2000,"&gt;="&amp;$B13,'Weekly Results'!$B$2:$B$2000,"&lt;="&amp;$C13))</f>
        <v/>
      </c>
      <c r="G13" s="32" t="str">
        <f>IF($I13=0,"",_xlfn.MAXIFS('Weekly Results'!$H$2:$H$2000,'Weekly Results'!$D$2:$D$2000,$B$3,'Weekly Results'!$B$2:$B$2000,"&gt;="&amp;$B13,'Weekly Results'!$B$2:$B$2000,"&lt;="&amp;$C13))</f>
        <v/>
      </c>
      <c r="H13" s="32" t="str">
        <f>IF($I13=0,"",_xlfn.MAXIFS('Weekly Results'!$I$2:$I$2000,'Weekly Results'!$D$2:$D$2000,$B$3,'Weekly Results'!$B$2:$B$2000,"&gt;="&amp;$B13,'Weekly Results'!$B$2:$B$2000,"&lt;="&amp;$C13))</f>
        <v/>
      </c>
      <c r="I13" s="16">
        <f>COUNTIFS('Weekly Results'!$D$2:$D$2000,$B$3,'Weekly Results'!$B$2:$B$2000,"&gt;="&amp;$B13,'Weekly Results'!$B$2:$B$2000,"&lt;="&amp;$C13)</f>
        <v>0</v>
      </c>
    </row>
    <row r="14" spans="1:9" ht="15" customHeight="1" x14ac:dyDescent="0.35">
      <c r="A14" s="35" t="s">
        <v>219</v>
      </c>
      <c r="B14" s="38">
        <v>46508</v>
      </c>
      <c r="C14" s="39">
        <f t="shared" si="0"/>
        <v>46538</v>
      </c>
      <c r="D14" s="36" t="str">
        <f>IF($I14=0,"",_xlfn.MAXIFS('Weekly Results'!$F$2:$F$2000,'Weekly Results'!$D$2:$D$2000,$B$3,'Weekly Results'!$B$2:$B$2000,"&gt;="&amp;$B14,'Weekly Results'!$B$2:$B$2000,"&lt;="&amp;$C14))</f>
        <v/>
      </c>
      <c r="E14" s="36" t="str">
        <f>IF($I14=0,"",AVERAGEIFS('Weekly Results'!$F$2:$F$2000,'Weekly Results'!$D$2:$D$2000,$B$3,'Weekly Results'!$B$2:$B$2000,"&gt;="&amp;$B14,'Weekly Results'!$B$2:$B$2000,"&lt;="&amp;$C14))</f>
        <v/>
      </c>
      <c r="F14" s="37" t="str">
        <f>IF($I14=0,"",_xlfn.MAXIFS('Weekly Results'!$G$2:$G$2000,'Weekly Results'!$D$2:$D$2000,$B$3,'Weekly Results'!$B$2:$B$2000,"&gt;="&amp;$B14,'Weekly Results'!$B$2:$B$2000,"&lt;="&amp;$C14))</f>
        <v/>
      </c>
      <c r="G14" s="37" t="str">
        <f>IF($I14=0,"",_xlfn.MAXIFS('Weekly Results'!$H$2:$H$2000,'Weekly Results'!$D$2:$D$2000,$B$3,'Weekly Results'!$B$2:$B$2000,"&gt;="&amp;$B14,'Weekly Results'!$B$2:$B$2000,"&lt;="&amp;$C14))</f>
        <v/>
      </c>
      <c r="H14" s="37" t="str">
        <f>IF($I14=0,"",_xlfn.MAXIFS('Weekly Results'!$I$2:$I$2000,'Weekly Results'!$D$2:$D$2000,$B$3,'Weekly Results'!$B$2:$B$2000,"&gt;="&amp;$B14,'Weekly Results'!$B$2:$B$2000,"&lt;="&amp;$C14))</f>
        <v/>
      </c>
      <c r="I14" s="40">
        <f>COUNTIFS('Weekly Results'!$D$2:$D$2000,$B$3,'Weekly Results'!$B$2:$B$2000,"&gt;="&amp;$B14,'Weekly Results'!$B$2:$B$2000,"&lt;="&amp;$C14)</f>
        <v>0</v>
      </c>
    </row>
    <row r="15" spans="1:9" ht="15" customHeight="1" x14ac:dyDescent="0.35">
      <c r="A15" s="34" t="s">
        <v>220</v>
      </c>
      <c r="B15" s="41">
        <v>46539</v>
      </c>
      <c r="C15" s="17">
        <f t="shared" si="0"/>
        <v>46568</v>
      </c>
      <c r="D15" s="29" t="str">
        <f>IF($I15=0,"",_xlfn.MAXIFS('Weekly Results'!$F$2:$F$2000,'Weekly Results'!$D$2:$D$2000,$B$3,'Weekly Results'!$B$2:$B$2000,"&gt;="&amp;$B15,'Weekly Results'!$B$2:$B$2000,"&lt;="&amp;$C15))</f>
        <v/>
      </c>
      <c r="E15" s="29" t="str">
        <f>IF($I15=0,"",AVERAGEIFS('Weekly Results'!$F$2:$F$2000,'Weekly Results'!$D$2:$D$2000,$B$3,'Weekly Results'!$B$2:$B$2000,"&gt;="&amp;$B15,'Weekly Results'!$B$2:$B$2000,"&lt;="&amp;$C15))</f>
        <v/>
      </c>
      <c r="F15" s="32" t="str">
        <f>IF($I15=0,"",_xlfn.MAXIFS('Weekly Results'!$G$2:$G$2000,'Weekly Results'!$D$2:$D$2000,$B$3,'Weekly Results'!$B$2:$B$2000,"&gt;="&amp;$B15,'Weekly Results'!$B$2:$B$2000,"&lt;="&amp;$C15))</f>
        <v/>
      </c>
      <c r="G15" s="32" t="str">
        <f>IF($I15=0,"",_xlfn.MAXIFS('Weekly Results'!$H$2:$H$2000,'Weekly Results'!$D$2:$D$2000,$B$3,'Weekly Results'!$B$2:$B$2000,"&gt;="&amp;$B15,'Weekly Results'!$B$2:$B$2000,"&lt;="&amp;$C15))</f>
        <v/>
      </c>
      <c r="H15" s="32" t="str">
        <f>IF($I15=0,"",_xlfn.MAXIFS('Weekly Results'!$I$2:$I$2000,'Weekly Results'!$D$2:$D$2000,$B$3,'Weekly Results'!$B$2:$B$2000,"&gt;="&amp;$B15,'Weekly Results'!$B$2:$B$2000,"&lt;="&amp;$C15))</f>
        <v/>
      </c>
      <c r="I15" s="16">
        <f>COUNTIFS('Weekly Results'!$D$2:$D$2000,$B$3,'Weekly Results'!$B$2:$B$2000,"&gt;="&amp;$B15,'Weekly Results'!$B$2:$B$2000,"&lt;="&amp;$C15)</f>
        <v>0</v>
      </c>
    </row>
    <row r="16" spans="1:9" ht="15" customHeight="1" x14ac:dyDescent="0.35">
      <c r="A16" s="35" t="s">
        <v>221</v>
      </c>
      <c r="B16" s="38">
        <v>46569</v>
      </c>
      <c r="C16" s="39">
        <f t="shared" si="0"/>
        <v>46599</v>
      </c>
      <c r="D16" s="36" t="str">
        <f>IF($I16=0,"",_xlfn.MAXIFS('Weekly Results'!$F$2:$F$2000,'Weekly Results'!$D$2:$D$2000,$B$3,'Weekly Results'!$B$2:$B$2000,"&gt;="&amp;$B16,'Weekly Results'!$B$2:$B$2000,"&lt;="&amp;$C16))</f>
        <v/>
      </c>
      <c r="E16" s="36" t="str">
        <f>IF($I16=0,"",AVERAGEIFS('Weekly Results'!$F$2:$F$2000,'Weekly Results'!$D$2:$D$2000,$B$3,'Weekly Results'!$B$2:$B$2000,"&gt;="&amp;$B16,'Weekly Results'!$B$2:$B$2000,"&lt;="&amp;$C16))</f>
        <v/>
      </c>
      <c r="F16" s="37" t="str">
        <f>IF($I16=0,"",_xlfn.MAXIFS('Weekly Results'!$G$2:$G$2000,'Weekly Results'!$D$2:$D$2000,$B$3,'Weekly Results'!$B$2:$B$2000,"&gt;="&amp;$B16,'Weekly Results'!$B$2:$B$2000,"&lt;="&amp;$C16))</f>
        <v/>
      </c>
      <c r="G16" s="37" t="str">
        <f>IF($I16=0,"",_xlfn.MAXIFS('Weekly Results'!$H$2:$H$2000,'Weekly Results'!$D$2:$D$2000,$B$3,'Weekly Results'!$B$2:$B$2000,"&gt;="&amp;$B16,'Weekly Results'!$B$2:$B$2000,"&lt;="&amp;$C16))</f>
        <v/>
      </c>
      <c r="H16" s="37" t="str">
        <f>IF($I16=0,"",_xlfn.MAXIFS('Weekly Results'!$I$2:$I$2000,'Weekly Results'!$D$2:$D$2000,$B$3,'Weekly Results'!$B$2:$B$2000,"&gt;="&amp;$B16,'Weekly Results'!$B$2:$B$2000,"&lt;="&amp;$C16))</f>
        <v/>
      </c>
      <c r="I16" s="40">
        <f>COUNTIFS('Weekly Results'!$D$2:$D$2000,$B$3,'Weekly Results'!$B$2:$B$2000,"&gt;="&amp;$B16,'Weekly Results'!$B$2:$B$2000,"&lt;="&amp;$C16)</f>
        <v>0</v>
      </c>
    </row>
    <row r="17" spans="1:9" ht="15" customHeight="1" x14ac:dyDescent="0.35">
      <c r="A17" s="34" t="s">
        <v>222</v>
      </c>
      <c r="B17" s="41">
        <v>46600</v>
      </c>
      <c r="C17" s="17">
        <f t="shared" si="0"/>
        <v>46630</v>
      </c>
      <c r="D17" s="29" t="str">
        <f>IF($I17=0,"",_xlfn.MAXIFS('Weekly Results'!$F$2:$F$2000,'Weekly Results'!$D$2:$D$2000,$B$3,'Weekly Results'!$B$2:$B$2000,"&gt;="&amp;$B17,'Weekly Results'!$B$2:$B$2000,"&lt;="&amp;$C17))</f>
        <v/>
      </c>
      <c r="E17" s="29" t="str">
        <f>IF($I17=0,"",AVERAGEIFS('Weekly Results'!$F$2:$F$2000,'Weekly Results'!$D$2:$D$2000,$B$3,'Weekly Results'!$B$2:$B$2000,"&gt;="&amp;$B17,'Weekly Results'!$B$2:$B$2000,"&lt;="&amp;$C17))</f>
        <v/>
      </c>
      <c r="F17" s="32" t="str">
        <f>IF($I17=0,"",_xlfn.MAXIFS('Weekly Results'!$G$2:$G$2000,'Weekly Results'!$D$2:$D$2000,$B$3,'Weekly Results'!$B$2:$B$2000,"&gt;="&amp;$B17,'Weekly Results'!$B$2:$B$2000,"&lt;="&amp;$C17))</f>
        <v/>
      </c>
      <c r="G17" s="32" t="str">
        <f>IF($I17=0,"",_xlfn.MAXIFS('Weekly Results'!$H$2:$H$2000,'Weekly Results'!$D$2:$D$2000,$B$3,'Weekly Results'!$B$2:$B$2000,"&gt;="&amp;$B17,'Weekly Results'!$B$2:$B$2000,"&lt;="&amp;$C17))</f>
        <v/>
      </c>
      <c r="H17" s="32" t="str">
        <f>IF($I17=0,"",_xlfn.MAXIFS('Weekly Results'!$I$2:$I$2000,'Weekly Results'!$D$2:$D$2000,$B$3,'Weekly Results'!$B$2:$B$2000,"&gt;="&amp;$B17,'Weekly Results'!$B$2:$B$2000,"&lt;="&amp;$C17))</f>
        <v/>
      </c>
      <c r="I17" s="16">
        <f>COUNTIFS('Weekly Results'!$D$2:$D$2000,$B$3,'Weekly Results'!$B$2:$B$2000,"&gt;="&amp;$B17,'Weekly Results'!$B$2:$B$2000,"&lt;="&amp;$C17)</f>
        <v>0</v>
      </c>
    </row>
  </sheetData>
  <dataValidations count="1">
    <dataValidation type="list" allowBlank="1" sqref="B3" xr:uid="{00000000-0002-0000-0700-000000000000}">
      <formula1>AthleteIDs</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3"/>
  <sheetViews>
    <sheetView zoomScaleNormal="100" workbookViewId="0">
      <pane ySplit="3" topLeftCell="A4" activePane="bottomLeft" state="frozen"/>
      <selection pane="bottomLeft"/>
    </sheetView>
  </sheetViews>
  <sheetFormatPr defaultColWidth="8.6328125" defaultRowHeight="14.5" x14ac:dyDescent="0.35"/>
  <cols>
    <col min="1" max="1" width="11" style="1" customWidth="1"/>
    <col min="2" max="2" width="22" style="1" customWidth="1"/>
    <col min="3" max="3" width="16" style="1" customWidth="1"/>
    <col min="4" max="4" width="15" style="1" customWidth="1"/>
    <col min="5" max="5" width="16" style="1" customWidth="1"/>
    <col min="6" max="6" width="11" style="1" customWidth="1"/>
    <col min="7" max="7" width="10" style="1" customWidth="1"/>
    <col min="8" max="9" width="13" style="1" customWidth="1"/>
    <col min="10" max="10" width="15" style="1" customWidth="1"/>
    <col min="11" max="11" width="14" style="1" customWidth="1"/>
    <col min="12" max="12" width="16" style="1" customWidth="1"/>
  </cols>
  <sheetData>
    <row r="1" spans="1:12" ht="17.25" customHeight="1" x14ac:dyDescent="0.4">
      <c r="A1" s="25" t="s">
        <v>223</v>
      </c>
    </row>
    <row r="3" spans="1:12" ht="15" customHeight="1" x14ac:dyDescent="0.35">
      <c r="A3" s="6" t="s">
        <v>80</v>
      </c>
      <c r="B3" s="6" t="s">
        <v>81</v>
      </c>
      <c r="C3" s="6" t="s">
        <v>82</v>
      </c>
      <c r="D3" s="6" t="s">
        <v>89</v>
      </c>
      <c r="E3" s="6" t="s">
        <v>224</v>
      </c>
      <c r="F3" s="6" t="s">
        <v>225</v>
      </c>
      <c r="G3" s="6" t="s">
        <v>226</v>
      </c>
      <c r="H3" s="6" t="s">
        <v>207</v>
      </c>
      <c r="I3" s="6" t="s">
        <v>208</v>
      </c>
      <c r="J3" s="6" t="s">
        <v>209</v>
      </c>
      <c r="K3" s="6" t="s">
        <v>227</v>
      </c>
      <c r="L3" s="6" t="s">
        <v>228</v>
      </c>
    </row>
    <row r="4" spans="1:12" ht="15" customHeight="1" x14ac:dyDescent="0.35">
      <c r="A4" s="16" t="str">
        <f>IF(Athletes!A2="","",Athletes!A2)</f>
        <v>TRU001</v>
      </c>
      <c r="B4" s="16" t="str">
        <f>IF($A4="","",Athletes!B2)</f>
        <v>Sample Athlete A</v>
      </c>
      <c r="C4" s="16" t="str">
        <f>IF($A4="","",Athletes!C2)</f>
        <v>UTech</v>
      </c>
      <c r="D4" s="29">
        <f>IF($A4="","",Athletes!J2)</f>
        <v>15.2</v>
      </c>
      <c r="E4" s="29">
        <f>IF($A4="","",IF(COUNTIF('Weekly Results'!$D$2:$D$2000,$A4)=0,"",_xlfn.MAXIFS('Weekly Results'!$F$2:$F$2000,'Weekly Results'!$D$2:$D$2000,$A4)))</f>
        <v>15.48</v>
      </c>
      <c r="F4" s="29">
        <f t="shared" ref="F4:F43" si="0">IF(OR($A4="",$E4="",$D4=""),"",$E4-$D4)</f>
        <v>0.28000000000000114</v>
      </c>
      <c r="G4" s="30">
        <f t="shared" ref="G4:G43" si="1">IF(OR($A4="",$E4="",$D4="",$D4=0),"",($E4-$D4)/$D4)</f>
        <v>1.8421052631579022E-2</v>
      </c>
      <c r="H4" s="32">
        <f>IF($A4="","",IF(COUNTIF('Weekly Results'!$D$2:$D$2000,$A4)=0,"",_xlfn.MAXIFS('Weekly Results'!$G$2:$G$2000,'Weekly Results'!$D$2:$D$2000,$A4)))</f>
        <v>185</v>
      </c>
      <c r="I4" s="32">
        <f>IF($A4="","",IF(COUNTIF('Weekly Results'!$D$2:$D$2000,$A4)=0,"",_xlfn.MAXIFS('Weekly Results'!$H$2:$H$2000,'Weekly Results'!$D$2:$D$2000,$A4)))</f>
        <v>122.5</v>
      </c>
      <c r="J4" s="32">
        <f>IF($A4="","",IF(COUNTIF('Weekly Results'!$D$2:$D$2000,$A4)=0,"",_xlfn.MAXIFS('Weekly Results'!$I$2:$I$2000,'Weekly Results'!$D$2:$D$2000,$A4)))</f>
        <v>105</v>
      </c>
      <c r="K4" s="17">
        <f>IF($A4="","",IF(COUNTIF('Weekly Results'!$D$2:$D$2000,$A4)=0,"",_xlfn.MAXIFS('Weekly Results'!$B$2:$B$2000,'Weekly Results'!$D$2:$D$2000,$A4)))</f>
        <v>46298</v>
      </c>
      <c r="L4" s="34" t="str">
        <f t="shared" ref="L4:L43" si="2">IF($F4="","",IF($F4&gt;0,"▲ Improving",IF($F4&lt;0,"▼ Below baseline","— Holding")))</f>
        <v>▲ Improving</v>
      </c>
    </row>
    <row r="5" spans="1:12" ht="15" customHeight="1" x14ac:dyDescent="0.35">
      <c r="A5" s="16" t="str">
        <f>IF(Athletes!A3="","",Athletes!A3)</f>
        <v>TRU002</v>
      </c>
      <c r="B5" s="16" t="str">
        <f>IF($A5="","",Athletes!B3)</f>
        <v>Sample Athlete B</v>
      </c>
      <c r="C5" s="16" t="str">
        <f>IF($A5="","",Athletes!C3)</f>
        <v>Excelsior High</v>
      </c>
      <c r="D5" s="29">
        <f>IF($A5="","",Athletes!J3)</f>
        <v>12.1</v>
      </c>
      <c r="E5" s="29">
        <f>IF($A5="","",IF(COUNTIF('Weekly Results'!$D$2:$D$2000,$A5)=0,"",_xlfn.MAXIFS('Weekly Results'!$F$2:$F$2000,'Weekly Results'!$D$2:$D$2000,$A5)))</f>
        <v>12.3</v>
      </c>
      <c r="F5" s="29">
        <f t="shared" si="0"/>
        <v>0.20000000000000107</v>
      </c>
      <c r="G5" s="30">
        <f t="shared" si="1"/>
        <v>1.6528925619834798E-2</v>
      </c>
      <c r="H5" s="32">
        <f>IF($A5="","",IF(COUNTIF('Weekly Results'!$D$2:$D$2000,$A5)=0,"",_xlfn.MAXIFS('Weekly Results'!$G$2:$G$2000,'Weekly Results'!$D$2:$D$2000,$A5)))</f>
        <v>95</v>
      </c>
      <c r="I5" s="32">
        <f>IF($A5="","",IF(COUNTIF('Weekly Results'!$D$2:$D$2000,$A5)=0,"",_xlfn.MAXIFS('Weekly Results'!$H$2:$H$2000,'Weekly Results'!$D$2:$D$2000,$A5)))</f>
        <v>60</v>
      </c>
      <c r="J5" s="32">
        <f>IF($A5="","",IF(COUNTIF('Weekly Results'!$D$2:$D$2000,$A5)=0,"",_xlfn.MAXIFS('Weekly Results'!$I$2:$I$2000,'Weekly Results'!$D$2:$D$2000,$A5)))</f>
        <v>65</v>
      </c>
      <c r="K5" s="17">
        <f>IF($A5="","",IF(COUNTIF('Weekly Results'!$D$2:$D$2000,$A5)=0,"",_xlfn.MAXIFS('Weekly Results'!$B$2:$B$2000,'Weekly Results'!$D$2:$D$2000,$A5)))</f>
        <v>46298</v>
      </c>
      <c r="L5" s="34" t="str">
        <f t="shared" si="2"/>
        <v>▲ Improving</v>
      </c>
    </row>
    <row r="6" spans="1:12" ht="15" customHeight="1" x14ac:dyDescent="0.35">
      <c r="A6" s="16" t="str">
        <f>IF(Athletes!A4="","",Athletes!A4)</f>
        <v>TRU003</v>
      </c>
      <c r="B6" s="16" t="str">
        <f>IF($A6="","",Athletes!B4)</f>
        <v>Sample Athlete C</v>
      </c>
      <c r="C6" s="16" t="str">
        <f>IF($A6="","",Athletes!C4)</f>
        <v>Throwers R Us</v>
      </c>
      <c r="D6" s="29">
        <f>IF($A6="","",Athletes!J4)</f>
        <v>54</v>
      </c>
      <c r="E6" s="29">
        <f>IF($A6="","",IF(COUNTIF('Weekly Results'!$D$2:$D$2000,$A6)=0,"",_xlfn.MAXIFS('Weekly Results'!$F$2:$F$2000,'Weekly Results'!$D$2:$D$2000,$A6)))</f>
        <v>56.02</v>
      </c>
      <c r="F6" s="29">
        <f t="shared" si="0"/>
        <v>2.0200000000000031</v>
      </c>
      <c r="G6" s="30">
        <f t="shared" si="1"/>
        <v>3.7407407407407466E-2</v>
      </c>
      <c r="H6" s="32">
        <f>IF($A6="","",IF(COUNTIF('Weekly Results'!$D$2:$D$2000,$A6)=0,"",_xlfn.MAXIFS('Weekly Results'!$G$2:$G$2000,'Weekly Results'!$D$2:$D$2000,$A6)))</f>
        <v>145</v>
      </c>
      <c r="I6" s="32">
        <f>IF($A6="","",IF(COUNTIF('Weekly Results'!$D$2:$D$2000,$A6)=0,"",_xlfn.MAXIFS('Weekly Results'!$H$2:$H$2000,'Weekly Results'!$D$2:$D$2000,$A6)))</f>
        <v>100</v>
      </c>
      <c r="J6" s="32">
        <f>IF($A6="","",IF(COUNTIF('Weekly Results'!$D$2:$D$2000,$A6)=0,"",_xlfn.MAXIFS('Weekly Results'!$I$2:$I$2000,'Weekly Results'!$D$2:$D$2000,$A6)))</f>
        <v>90</v>
      </c>
      <c r="K6" s="17">
        <f>IF($A6="","",IF(COUNTIF('Weekly Results'!$D$2:$D$2000,$A6)=0,"",_xlfn.MAXIFS('Weekly Results'!$B$2:$B$2000,'Weekly Results'!$D$2:$D$2000,$A6)))</f>
        <v>46298</v>
      </c>
      <c r="L6" s="34" t="str">
        <f t="shared" si="2"/>
        <v>▲ Improving</v>
      </c>
    </row>
    <row r="7" spans="1:12" ht="15" customHeight="1" x14ac:dyDescent="0.35">
      <c r="A7" s="16" t="str">
        <f>IF(Athletes!A5="","",Athletes!A5)</f>
        <v/>
      </c>
      <c r="B7" s="16" t="str">
        <f>IF($A7="","",Athletes!B5)</f>
        <v/>
      </c>
      <c r="C7" s="16" t="str">
        <f>IF($A7="","",Athletes!C5)</f>
        <v/>
      </c>
      <c r="D7" s="29" t="str">
        <f>IF($A7="","",Athletes!J5)</f>
        <v/>
      </c>
      <c r="E7" s="29" t="str">
        <f>IF($A7="","",IF(COUNTIF('Weekly Results'!$D$2:$D$2000,$A7)=0,"",_xlfn.MAXIFS('Weekly Results'!$F$2:$F$2000,'Weekly Results'!$D$2:$D$2000,$A7)))</f>
        <v/>
      </c>
      <c r="F7" s="29" t="str">
        <f t="shared" si="0"/>
        <v/>
      </c>
      <c r="G7" s="30" t="str">
        <f t="shared" si="1"/>
        <v/>
      </c>
      <c r="H7" s="32" t="str">
        <f>IF($A7="","",IF(COUNTIF('Weekly Results'!$D$2:$D$2000,$A7)=0,"",_xlfn.MAXIFS('Weekly Results'!$G$2:$G$2000,'Weekly Results'!$D$2:$D$2000,$A7)))</f>
        <v/>
      </c>
      <c r="I7" s="32" t="str">
        <f>IF($A7="","",IF(COUNTIF('Weekly Results'!$D$2:$D$2000,$A7)=0,"",_xlfn.MAXIFS('Weekly Results'!$H$2:$H$2000,'Weekly Results'!$D$2:$D$2000,$A7)))</f>
        <v/>
      </c>
      <c r="J7" s="32" t="str">
        <f>IF($A7="","",IF(COUNTIF('Weekly Results'!$D$2:$D$2000,$A7)=0,"",_xlfn.MAXIFS('Weekly Results'!$I$2:$I$2000,'Weekly Results'!$D$2:$D$2000,$A7)))</f>
        <v/>
      </c>
      <c r="K7" s="17" t="str">
        <f>IF($A7="","",IF(COUNTIF('Weekly Results'!$D$2:$D$2000,$A7)=0,"",_xlfn.MAXIFS('Weekly Results'!$B$2:$B$2000,'Weekly Results'!$D$2:$D$2000,$A7)))</f>
        <v/>
      </c>
      <c r="L7" s="34" t="str">
        <f t="shared" si="2"/>
        <v/>
      </c>
    </row>
    <row r="8" spans="1:12" ht="15" customHeight="1" x14ac:dyDescent="0.35">
      <c r="A8" s="16" t="str">
        <f>IF(Athletes!A6="","",Athletes!A6)</f>
        <v/>
      </c>
      <c r="B8" s="16" t="str">
        <f>IF($A8="","",Athletes!B6)</f>
        <v/>
      </c>
      <c r="C8" s="16" t="str">
        <f>IF($A8="","",Athletes!C6)</f>
        <v/>
      </c>
      <c r="D8" s="29" t="str">
        <f>IF($A8="","",Athletes!J6)</f>
        <v/>
      </c>
      <c r="E8" s="29" t="str">
        <f>IF($A8="","",IF(COUNTIF('Weekly Results'!$D$2:$D$2000,$A8)=0,"",_xlfn.MAXIFS('Weekly Results'!$F$2:$F$2000,'Weekly Results'!$D$2:$D$2000,$A8)))</f>
        <v/>
      </c>
      <c r="F8" s="29" t="str">
        <f t="shared" si="0"/>
        <v/>
      </c>
      <c r="G8" s="30" t="str">
        <f t="shared" si="1"/>
        <v/>
      </c>
      <c r="H8" s="32" t="str">
        <f>IF($A8="","",IF(COUNTIF('Weekly Results'!$D$2:$D$2000,$A8)=0,"",_xlfn.MAXIFS('Weekly Results'!$G$2:$G$2000,'Weekly Results'!$D$2:$D$2000,$A8)))</f>
        <v/>
      </c>
      <c r="I8" s="32" t="str">
        <f>IF($A8="","",IF(COUNTIF('Weekly Results'!$D$2:$D$2000,$A8)=0,"",_xlfn.MAXIFS('Weekly Results'!$H$2:$H$2000,'Weekly Results'!$D$2:$D$2000,$A8)))</f>
        <v/>
      </c>
      <c r="J8" s="32" t="str">
        <f>IF($A8="","",IF(COUNTIF('Weekly Results'!$D$2:$D$2000,$A8)=0,"",_xlfn.MAXIFS('Weekly Results'!$I$2:$I$2000,'Weekly Results'!$D$2:$D$2000,$A8)))</f>
        <v/>
      </c>
      <c r="K8" s="17" t="str">
        <f>IF($A8="","",IF(COUNTIF('Weekly Results'!$D$2:$D$2000,$A8)=0,"",_xlfn.MAXIFS('Weekly Results'!$B$2:$B$2000,'Weekly Results'!$D$2:$D$2000,$A8)))</f>
        <v/>
      </c>
      <c r="L8" s="34" t="str">
        <f t="shared" si="2"/>
        <v/>
      </c>
    </row>
    <row r="9" spans="1:12" ht="15" customHeight="1" x14ac:dyDescent="0.35">
      <c r="A9" s="16" t="str">
        <f>IF(Athletes!A7="","",Athletes!A7)</f>
        <v/>
      </c>
      <c r="B9" s="16" t="str">
        <f>IF($A9="","",Athletes!B7)</f>
        <v/>
      </c>
      <c r="C9" s="16" t="str">
        <f>IF($A9="","",Athletes!C7)</f>
        <v/>
      </c>
      <c r="D9" s="29" t="str">
        <f>IF($A9="","",Athletes!J7)</f>
        <v/>
      </c>
      <c r="E9" s="29" t="str">
        <f>IF($A9="","",IF(COUNTIF('Weekly Results'!$D$2:$D$2000,$A9)=0,"",_xlfn.MAXIFS('Weekly Results'!$F$2:$F$2000,'Weekly Results'!$D$2:$D$2000,$A9)))</f>
        <v/>
      </c>
      <c r="F9" s="29" t="str">
        <f t="shared" si="0"/>
        <v/>
      </c>
      <c r="G9" s="30" t="str">
        <f t="shared" si="1"/>
        <v/>
      </c>
      <c r="H9" s="32" t="str">
        <f>IF($A9="","",IF(COUNTIF('Weekly Results'!$D$2:$D$2000,$A9)=0,"",_xlfn.MAXIFS('Weekly Results'!$G$2:$G$2000,'Weekly Results'!$D$2:$D$2000,$A9)))</f>
        <v/>
      </c>
      <c r="I9" s="32" t="str">
        <f>IF($A9="","",IF(COUNTIF('Weekly Results'!$D$2:$D$2000,$A9)=0,"",_xlfn.MAXIFS('Weekly Results'!$H$2:$H$2000,'Weekly Results'!$D$2:$D$2000,$A9)))</f>
        <v/>
      </c>
      <c r="J9" s="32" t="str">
        <f>IF($A9="","",IF(COUNTIF('Weekly Results'!$D$2:$D$2000,$A9)=0,"",_xlfn.MAXIFS('Weekly Results'!$I$2:$I$2000,'Weekly Results'!$D$2:$D$2000,$A9)))</f>
        <v/>
      </c>
      <c r="K9" s="17" t="str">
        <f>IF($A9="","",IF(COUNTIF('Weekly Results'!$D$2:$D$2000,$A9)=0,"",_xlfn.MAXIFS('Weekly Results'!$B$2:$B$2000,'Weekly Results'!$D$2:$D$2000,$A9)))</f>
        <v/>
      </c>
      <c r="L9" s="34" t="str">
        <f t="shared" si="2"/>
        <v/>
      </c>
    </row>
    <row r="10" spans="1:12" ht="15" customHeight="1" x14ac:dyDescent="0.35">
      <c r="A10" s="16" t="str">
        <f>IF(Athletes!A8="","",Athletes!A8)</f>
        <v/>
      </c>
      <c r="B10" s="16" t="str">
        <f>IF($A10="","",Athletes!B8)</f>
        <v/>
      </c>
      <c r="C10" s="16" t="str">
        <f>IF($A10="","",Athletes!C8)</f>
        <v/>
      </c>
      <c r="D10" s="29" t="str">
        <f>IF($A10="","",Athletes!J8)</f>
        <v/>
      </c>
      <c r="E10" s="29" t="str">
        <f>IF($A10="","",IF(COUNTIF('Weekly Results'!$D$2:$D$2000,$A10)=0,"",_xlfn.MAXIFS('Weekly Results'!$F$2:$F$2000,'Weekly Results'!$D$2:$D$2000,$A10)))</f>
        <v/>
      </c>
      <c r="F10" s="29" t="str">
        <f t="shared" si="0"/>
        <v/>
      </c>
      <c r="G10" s="30" t="str">
        <f t="shared" si="1"/>
        <v/>
      </c>
      <c r="H10" s="32" t="str">
        <f>IF($A10="","",IF(COUNTIF('Weekly Results'!$D$2:$D$2000,$A10)=0,"",_xlfn.MAXIFS('Weekly Results'!$G$2:$G$2000,'Weekly Results'!$D$2:$D$2000,$A10)))</f>
        <v/>
      </c>
      <c r="I10" s="32" t="str">
        <f>IF($A10="","",IF(COUNTIF('Weekly Results'!$D$2:$D$2000,$A10)=0,"",_xlfn.MAXIFS('Weekly Results'!$H$2:$H$2000,'Weekly Results'!$D$2:$D$2000,$A10)))</f>
        <v/>
      </c>
      <c r="J10" s="32" t="str">
        <f>IF($A10="","",IF(COUNTIF('Weekly Results'!$D$2:$D$2000,$A10)=0,"",_xlfn.MAXIFS('Weekly Results'!$I$2:$I$2000,'Weekly Results'!$D$2:$D$2000,$A10)))</f>
        <v/>
      </c>
      <c r="K10" s="17" t="str">
        <f>IF($A10="","",IF(COUNTIF('Weekly Results'!$D$2:$D$2000,$A10)=0,"",_xlfn.MAXIFS('Weekly Results'!$B$2:$B$2000,'Weekly Results'!$D$2:$D$2000,$A10)))</f>
        <v/>
      </c>
      <c r="L10" s="34" t="str">
        <f t="shared" si="2"/>
        <v/>
      </c>
    </row>
    <row r="11" spans="1:12" ht="15" customHeight="1" x14ac:dyDescent="0.35">
      <c r="A11" s="16" t="str">
        <f>IF(Athletes!A9="","",Athletes!A9)</f>
        <v/>
      </c>
      <c r="B11" s="16" t="str">
        <f>IF($A11="","",Athletes!B9)</f>
        <v/>
      </c>
      <c r="C11" s="16" t="str">
        <f>IF($A11="","",Athletes!C9)</f>
        <v/>
      </c>
      <c r="D11" s="29" t="str">
        <f>IF($A11="","",Athletes!J9)</f>
        <v/>
      </c>
      <c r="E11" s="29" t="str">
        <f>IF($A11="","",IF(COUNTIF('Weekly Results'!$D$2:$D$2000,$A11)=0,"",_xlfn.MAXIFS('Weekly Results'!$F$2:$F$2000,'Weekly Results'!$D$2:$D$2000,$A11)))</f>
        <v/>
      </c>
      <c r="F11" s="29" t="str">
        <f t="shared" si="0"/>
        <v/>
      </c>
      <c r="G11" s="30" t="str">
        <f t="shared" si="1"/>
        <v/>
      </c>
      <c r="H11" s="32" t="str">
        <f>IF($A11="","",IF(COUNTIF('Weekly Results'!$D$2:$D$2000,$A11)=0,"",_xlfn.MAXIFS('Weekly Results'!$G$2:$G$2000,'Weekly Results'!$D$2:$D$2000,$A11)))</f>
        <v/>
      </c>
      <c r="I11" s="32" t="str">
        <f>IF($A11="","",IF(COUNTIF('Weekly Results'!$D$2:$D$2000,$A11)=0,"",_xlfn.MAXIFS('Weekly Results'!$H$2:$H$2000,'Weekly Results'!$D$2:$D$2000,$A11)))</f>
        <v/>
      </c>
      <c r="J11" s="32" t="str">
        <f>IF($A11="","",IF(COUNTIF('Weekly Results'!$D$2:$D$2000,$A11)=0,"",_xlfn.MAXIFS('Weekly Results'!$I$2:$I$2000,'Weekly Results'!$D$2:$D$2000,$A11)))</f>
        <v/>
      </c>
      <c r="K11" s="17" t="str">
        <f>IF($A11="","",IF(COUNTIF('Weekly Results'!$D$2:$D$2000,$A11)=0,"",_xlfn.MAXIFS('Weekly Results'!$B$2:$B$2000,'Weekly Results'!$D$2:$D$2000,$A11)))</f>
        <v/>
      </c>
      <c r="L11" s="34" t="str">
        <f t="shared" si="2"/>
        <v/>
      </c>
    </row>
    <row r="12" spans="1:12" ht="15" customHeight="1" x14ac:dyDescent="0.35">
      <c r="A12" s="16" t="str">
        <f>IF(Athletes!A10="","",Athletes!A10)</f>
        <v/>
      </c>
      <c r="B12" s="16" t="str">
        <f>IF($A12="","",Athletes!B10)</f>
        <v/>
      </c>
      <c r="C12" s="16" t="str">
        <f>IF($A12="","",Athletes!C10)</f>
        <v/>
      </c>
      <c r="D12" s="29" t="str">
        <f>IF($A12="","",Athletes!J10)</f>
        <v/>
      </c>
      <c r="E12" s="29" t="str">
        <f>IF($A12="","",IF(COUNTIF('Weekly Results'!$D$2:$D$2000,$A12)=0,"",_xlfn.MAXIFS('Weekly Results'!$F$2:$F$2000,'Weekly Results'!$D$2:$D$2000,$A12)))</f>
        <v/>
      </c>
      <c r="F12" s="29" t="str">
        <f t="shared" si="0"/>
        <v/>
      </c>
      <c r="G12" s="30" t="str">
        <f t="shared" si="1"/>
        <v/>
      </c>
      <c r="H12" s="32" t="str">
        <f>IF($A12="","",IF(COUNTIF('Weekly Results'!$D$2:$D$2000,$A12)=0,"",_xlfn.MAXIFS('Weekly Results'!$G$2:$G$2000,'Weekly Results'!$D$2:$D$2000,$A12)))</f>
        <v/>
      </c>
      <c r="I12" s="32" t="str">
        <f>IF($A12="","",IF(COUNTIF('Weekly Results'!$D$2:$D$2000,$A12)=0,"",_xlfn.MAXIFS('Weekly Results'!$H$2:$H$2000,'Weekly Results'!$D$2:$D$2000,$A12)))</f>
        <v/>
      </c>
      <c r="J12" s="32" t="str">
        <f>IF($A12="","",IF(COUNTIF('Weekly Results'!$D$2:$D$2000,$A12)=0,"",_xlfn.MAXIFS('Weekly Results'!$I$2:$I$2000,'Weekly Results'!$D$2:$D$2000,$A12)))</f>
        <v/>
      </c>
      <c r="K12" s="17" t="str">
        <f>IF($A12="","",IF(COUNTIF('Weekly Results'!$D$2:$D$2000,$A12)=0,"",_xlfn.MAXIFS('Weekly Results'!$B$2:$B$2000,'Weekly Results'!$D$2:$D$2000,$A12)))</f>
        <v/>
      </c>
      <c r="L12" s="34" t="str">
        <f t="shared" si="2"/>
        <v/>
      </c>
    </row>
    <row r="13" spans="1:12" ht="15" customHeight="1" x14ac:dyDescent="0.35">
      <c r="A13" s="16" t="str">
        <f>IF(Athletes!A11="","",Athletes!A11)</f>
        <v/>
      </c>
      <c r="B13" s="16" t="str">
        <f>IF($A13="","",Athletes!B11)</f>
        <v/>
      </c>
      <c r="C13" s="16" t="str">
        <f>IF($A13="","",Athletes!C11)</f>
        <v/>
      </c>
      <c r="D13" s="29" t="str">
        <f>IF($A13="","",Athletes!J11)</f>
        <v/>
      </c>
      <c r="E13" s="29" t="str">
        <f>IF($A13="","",IF(COUNTIF('Weekly Results'!$D$2:$D$2000,$A13)=0,"",_xlfn.MAXIFS('Weekly Results'!$F$2:$F$2000,'Weekly Results'!$D$2:$D$2000,$A13)))</f>
        <v/>
      </c>
      <c r="F13" s="29" t="str">
        <f t="shared" si="0"/>
        <v/>
      </c>
      <c r="G13" s="30" t="str">
        <f t="shared" si="1"/>
        <v/>
      </c>
      <c r="H13" s="32" t="str">
        <f>IF($A13="","",IF(COUNTIF('Weekly Results'!$D$2:$D$2000,$A13)=0,"",_xlfn.MAXIFS('Weekly Results'!$G$2:$G$2000,'Weekly Results'!$D$2:$D$2000,$A13)))</f>
        <v/>
      </c>
      <c r="I13" s="32" t="str">
        <f>IF($A13="","",IF(COUNTIF('Weekly Results'!$D$2:$D$2000,$A13)=0,"",_xlfn.MAXIFS('Weekly Results'!$H$2:$H$2000,'Weekly Results'!$D$2:$D$2000,$A13)))</f>
        <v/>
      </c>
      <c r="J13" s="32" t="str">
        <f>IF($A13="","",IF(COUNTIF('Weekly Results'!$D$2:$D$2000,$A13)=0,"",_xlfn.MAXIFS('Weekly Results'!$I$2:$I$2000,'Weekly Results'!$D$2:$D$2000,$A13)))</f>
        <v/>
      </c>
      <c r="K13" s="17" t="str">
        <f>IF($A13="","",IF(COUNTIF('Weekly Results'!$D$2:$D$2000,$A13)=0,"",_xlfn.MAXIFS('Weekly Results'!$B$2:$B$2000,'Weekly Results'!$D$2:$D$2000,$A13)))</f>
        <v/>
      </c>
      <c r="L13" s="34" t="str">
        <f t="shared" si="2"/>
        <v/>
      </c>
    </row>
    <row r="14" spans="1:12" ht="15" customHeight="1" x14ac:dyDescent="0.35">
      <c r="A14" s="16" t="str">
        <f>IF(Athletes!A12="","",Athletes!A12)</f>
        <v/>
      </c>
      <c r="B14" s="16" t="str">
        <f>IF($A14="","",Athletes!B12)</f>
        <v/>
      </c>
      <c r="C14" s="16" t="str">
        <f>IF($A14="","",Athletes!C12)</f>
        <v/>
      </c>
      <c r="D14" s="29" t="str">
        <f>IF($A14="","",Athletes!J12)</f>
        <v/>
      </c>
      <c r="E14" s="29" t="str">
        <f>IF($A14="","",IF(COUNTIF('Weekly Results'!$D$2:$D$2000,$A14)=0,"",_xlfn.MAXIFS('Weekly Results'!$F$2:$F$2000,'Weekly Results'!$D$2:$D$2000,$A14)))</f>
        <v/>
      </c>
      <c r="F14" s="29" t="str">
        <f t="shared" si="0"/>
        <v/>
      </c>
      <c r="G14" s="30" t="str">
        <f t="shared" si="1"/>
        <v/>
      </c>
      <c r="H14" s="32" t="str">
        <f>IF($A14="","",IF(COUNTIF('Weekly Results'!$D$2:$D$2000,$A14)=0,"",_xlfn.MAXIFS('Weekly Results'!$G$2:$G$2000,'Weekly Results'!$D$2:$D$2000,$A14)))</f>
        <v/>
      </c>
      <c r="I14" s="32" t="str">
        <f>IF($A14="","",IF(COUNTIF('Weekly Results'!$D$2:$D$2000,$A14)=0,"",_xlfn.MAXIFS('Weekly Results'!$H$2:$H$2000,'Weekly Results'!$D$2:$D$2000,$A14)))</f>
        <v/>
      </c>
      <c r="J14" s="32" t="str">
        <f>IF($A14="","",IF(COUNTIF('Weekly Results'!$D$2:$D$2000,$A14)=0,"",_xlfn.MAXIFS('Weekly Results'!$I$2:$I$2000,'Weekly Results'!$D$2:$D$2000,$A14)))</f>
        <v/>
      </c>
      <c r="K14" s="17" t="str">
        <f>IF($A14="","",IF(COUNTIF('Weekly Results'!$D$2:$D$2000,$A14)=0,"",_xlfn.MAXIFS('Weekly Results'!$B$2:$B$2000,'Weekly Results'!$D$2:$D$2000,$A14)))</f>
        <v/>
      </c>
      <c r="L14" s="34" t="str">
        <f t="shared" si="2"/>
        <v/>
      </c>
    </row>
    <row r="15" spans="1:12" ht="15" customHeight="1" x14ac:dyDescent="0.35">
      <c r="A15" s="16" t="str">
        <f>IF(Athletes!A13="","",Athletes!A13)</f>
        <v/>
      </c>
      <c r="B15" s="16" t="str">
        <f>IF($A15="","",Athletes!B13)</f>
        <v/>
      </c>
      <c r="C15" s="16" t="str">
        <f>IF($A15="","",Athletes!C13)</f>
        <v/>
      </c>
      <c r="D15" s="29" t="str">
        <f>IF($A15="","",Athletes!J13)</f>
        <v/>
      </c>
      <c r="E15" s="29" t="str">
        <f>IF($A15="","",IF(COUNTIF('Weekly Results'!$D$2:$D$2000,$A15)=0,"",_xlfn.MAXIFS('Weekly Results'!$F$2:$F$2000,'Weekly Results'!$D$2:$D$2000,$A15)))</f>
        <v/>
      </c>
      <c r="F15" s="29" t="str">
        <f t="shared" si="0"/>
        <v/>
      </c>
      <c r="G15" s="30" t="str">
        <f t="shared" si="1"/>
        <v/>
      </c>
      <c r="H15" s="32" t="str">
        <f>IF($A15="","",IF(COUNTIF('Weekly Results'!$D$2:$D$2000,$A15)=0,"",_xlfn.MAXIFS('Weekly Results'!$G$2:$G$2000,'Weekly Results'!$D$2:$D$2000,$A15)))</f>
        <v/>
      </c>
      <c r="I15" s="32" t="str">
        <f>IF($A15="","",IF(COUNTIF('Weekly Results'!$D$2:$D$2000,$A15)=0,"",_xlfn.MAXIFS('Weekly Results'!$H$2:$H$2000,'Weekly Results'!$D$2:$D$2000,$A15)))</f>
        <v/>
      </c>
      <c r="J15" s="32" t="str">
        <f>IF($A15="","",IF(COUNTIF('Weekly Results'!$D$2:$D$2000,$A15)=0,"",_xlfn.MAXIFS('Weekly Results'!$I$2:$I$2000,'Weekly Results'!$D$2:$D$2000,$A15)))</f>
        <v/>
      </c>
      <c r="K15" s="17" t="str">
        <f>IF($A15="","",IF(COUNTIF('Weekly Results'!$D$2:$D$2000,$A15)=0,"",_xlfn.MAXIFS('Weekly Results'!$B$2:$B$2000,'Weekly Results'!$D$2:$D$2000,$A15)))</f>
        <v/>
      </c>
      <c r="L15" s="34" t="str">
        <f t="shared" si="2"/>
        <v/>
      </c>
    </row>
    <row r="16" spans="1:12" ht="15" customHeight="1" x14ac:dyDescent="0.35">
      <c r="A16" s="16" t="str">
        <f>IF(Athletes!A14="","",Athletes!A14)</f>
        <v/>
      </c>
      <c r="B16" s="16" t="str">
        <f>IF($A16="","",Athletes!B14)</f>
        <v/>
      </c>
      <c r="C16" s="16" t="str">
        <f>IF($A16="","",Athletes!C14)</f>
        <v/>
      </c>
      <c r="D16" s="29" t="str">
        <f>IF($A16="","",Athletes!J14)</f>
        <v/>
      </c>
      <c r="E16" s="29" t="str">
        <f>IF($A16="","",IF(COUNTIF('Weekly Results'!$D$2:$D$2000,$A16)=0,"",_xlfn.MAXIFS('Weekly Results'!$F$2:$F$2000,'Weekly Results'!$D$2:$D$2000,$A16)))</f>
        <v/>
      </c>
      <c r="F16" s="29" t="str">
        <f t="shared" si="0"/>
        <v/>
      </c>
      <c r="G16" s="30" t="str">
        <f t="shared" si="1"/>
        <v/>
      </c>
      <c r="H16" s="32" t="str">
        <f>IF($A16="","",IF(COUNTIF('Weekly Results'!$D$2:$D$2000,$A16)=0,"",_xlfn.MAXIFS('Weekly Results'!$G$2:$G$2000,'Weekly Results'!$D$2:$D$2000,$A16)))</f>
        <v/>
      </c>
      <c r="I16" s="32" t="str">
        <f>IF($A16="","",IF(COUNTIF('Weekly Results'!$D$2:$D$2000,$A16)=0,"",_xlfn.MAXIFS('Weekly Results'!$H$2:$H$2000,'Weekly Results'!$D$2:$D$2000,$A16)))</f>
        <v/>
      </c>
      <c r="J16" s="32" t="str">
        <f>IF($A16="","",IF(COUNTIF('Weekly Results'!$D$2:$D$2000,$A16)=0,"",_xlfn.MAXIFS('Weekly Results'!$I$2:$I$2000,'Weekly Results'!$D$2:$D$2000,$A16)))</f>
        <v/>
      </c>
      <c r="K16" s="17" t="str">
        <f>IF($A16="","",IF(COUNTIF('Weekly Results'!$D$2:$D$2000,$A16)=0,"",_xlfn.MAXIFS('Weekly Results'!$B$2:$B$2000,'Weekly Results'!$D$2:$D$2000,$A16)))</f>
        <v/>
      </c>
      <c r="L16" s="34" t="str">
        <f t="shared" si="2"/>
        <v/>
      </c>
    </row>
    <row r="17" spans="1:12" ht="15" customHeight="1" x14ac:dyDescent="0.35">
      <c r="A17" s="16" t="str">
        <f>IF(Athletes!A15="","",Athletes!A15)</f>
        <v/>
      </c>
      <c r="B17" s="16" t="str">
        <f>IF($A17="","",Athletes!B15)</f>
        <v/>
      </c>
      <c r="C17" s="16" t="str">
        <f>IF($A17="","",Athletes!C15)</f>
        <v/>
      </c>
      <c r="D17" s="29" t="str">
        <f>IF($A17="","",Athletes!J15)</f>
        <v/>
      </c>
      <c r="E17" s="29" t="str">
        <f>IF($A17="","",IF(COUNTIF('Weekly Results'!$D$2:$D$2000,$A17)=0,"",_xlfn.MAXIFS('Weekly Results'!$F$2:$F$2000,'Weekly Results'!$D$2:$D$2000,$A17)))</f>
        <v/>
      </c>
      <c r="F17" s="29" t="str">
        <f t="shared" si="0"/>
        <v/>
      </c>
      <c r="G17" s="30" t="str">
        <f t="shared" si="1"/>
        <v/>
      </c>
      <c r="H17" s="32" t="str">
        <f>IF($A17="","",IF(COUNTIF('Weekly Results'!$D$2:$D$2000,$A17)=0,"",_xlfn.MAXIFS('Weekly Results'!$G$2:$G$2000,'Weekly Results'!$D$2:$D$2000,$A17)))</f>
        <v/>
      </c>
      <c r="I17" s="32" t="str">
        <f>IF($A17="","",IF(COUNTIF('Weekly Results'!$D$2:$D$2000,$A17)=0,"",_xlfn.MAXIFS('Weekly Results'!$H$2:$H$2000,'Weekly Results'!$D$2:$D$2000,$A17)))</f>
        <v/>
      </c>
      <c r="J17" s="32" t="str">
        <f>IF($A17="","",IF(COUNTIF('Weekly Results'!$D$2:$D$2000,$A17)=0,"",_xlfn.MAXIFS('Weekly Results'!$I$2:$I$2000,'Weekly Results'!$D$2:$D$2000,$A17)))</f>
        <v/>
      </c>
      <c r="K17" s="17" t="str">
        <f>IF($A17="","",IF(COUNTIF('Weekly Results'!$D$2:$D$2000,$A17)=0,"",_xlfn.MAXIFS('Weekly Results'!$B$2:$B$2000,'Weekly Results'!$D$2:$D$2000,$A17)))</f>
        <v/>
      </c>
      <c r="L17" s="34" t="str">
        <f t="shared" si="2"/>
        <v/>
      </c>
    </row>
    <row r="18" spans="1:12" ht="15" customHeight="1" x14ac:dyDescent="0.35">
      <c r="A18" s="16" t="str">
        <f>IF(Athletes!A16="","",Athletes!A16)</f>
        <v/>
      </c>
      <c r="B18" s="16" t="str">
        <f>IF($A18="","",Athletes!B16)</f>
        <v/>
      </c>
      <c r="C18" s="16" t="str">
        <f>IF($A18="","",Athletes!C16)</f>
        <v/>
      </c>
      <c r="D18" s="29" t="str">
        <f>IF($A18="","",Athletes!J16)</f>
        <v/>
      </c>
      <c r="E18" s="29" t="str">
        <f>IF($A18="","",IF(COUNTIF('Weekly Results'!$D$2:$D$2000,$A18)=0,"",_xlfn.MAXIFS('Weekly Results'!$F$2:$F$2000,'Weekly Results'!$D$2:$D$2000,$A18)))</f>
        <v/>
      </c>
      <c r="F18" s="29" t="str">
        <f t="shared" si="0"/>
        <v/>
      </c>
      <c r="G18" s="30" t="str">
        <f t="shared" si="1"/>
        <v/>
      </c>
      <c r="H18" s="32" t="str">
        <f>IF($A18="","",IF(COUNTIF('Weekly Results'!$D$2:$D$2000,$A18)=0,"",_xlfn.MAXIFS('Weekly Results'!$G$2:$G$2000,'Weekly Results'!$D$2:$D$2000,$A18)))</f>
        <v/>
      </c>
      <c r="I18" s="32" t="str">
        <f>IF($A18="","",IF(COUNTIF('Weekly Results'!$D$2:$D$2000,$A18)=0,"",_xlfn.MAXIFS('Weekly Results'!$H$2:$H$2000,'Weekly Results'!$D$2:$D$2000,$A18)))</f>
        <v/>
      </c>
      <c r="J18" s="32" t="str">
        <f>IF($A18="","",IF(COUNTIF('Weekly Results'!$D$2:$D$2000,$A18)=0,"",_xlfn.MAXIFS('Weekly Results'!$I$2:$I$2000,'Weekly Results'!$D$2:$D$2000,$A18)))</f>
        <v/>
      </c>
      <c r="K18" s="17" t="str">
        <f>IF($A18="","",IF(COUNTIF('Weekly Results'!$D$2:$D$2000,$A18)=0,"",_xlfn.MAXIFS('Weekly Results'!$B$2:$B$2000,'Weekly Results'!$D$2:$D$2000,$A18)))</f>
        <v/>
      </c>
      <c r="L18" s="34" t="str">
        <f t="shared" si="2"/>
        <v/>
      </c>
    </row>
    <row r="19" spans="1:12" ht="15" customHeight="1" x14ac:dyDescent="0.35">
      <c r="A19" s="16" t="str">
        <f>IF(Athletes!A17="","",Athletes!A17)</f>
        <v/>
      </c>
      <c r="B19" s="16" t="str">
        <f>IF($A19="","",Athletes!B17)</f>
        <v/>
      </c>
      <c r="C19" s="16" t="str">
        <f>IF($A19="","",Athletes!C17)</f>
        <v/>
      </c>
      <c r="D19" s="29" t="str">
        <f>IF($A19="","",Athletes!J17)</f>
        <v/>
      </c>
      <c r="E19" s="29" t="str">
        <f>IF($A19="","",IF(COUNTIF('Weekly Results'!$D$2:$D$2000,$A19)=0,"",_xlfn.MAXIFS('Weekly Results'!$F$2:$F$2000,'Weekly Results'!$D$2:$D$2000,$A19)))</f>
        <v/>
      </c>
      <c r="F19" s="29" t="str">
        <f t="shared" si="0"/>
        <v/>
      </c>
      <c r="G19" s="30" t="str">
        <f t="shared" si="1"/>
        <v/>
      </c>
      <c r="H19" s="32" t="str">
        <f>IF($A19="","",IF(COUNTIF('Weekly Results'!$D$2:$D$2000,$A19)=0,"",_xlfn.MAXIFS('Weekly Results'!$G$2:$G$2000,'Weekly Results'!$D$2:$D$2000,$A19)))</f>
        <v/>
      </c>
      <c r="I19" s="32" t="str">
        <f>IF($A19="","",IF(COUNTIF('Weekly Results'!$D$2:$D$2000,$A19)=0,"",_xlfn.MAXIFS('Weekly Results'!$H$2:$H$2000,'Weekly Results'!$D$2:$D$2000,$A19)))</f>
        <v/>
      </c>
      <c r="J19" s="32" t="str">
        <f>IF($A19="","",IF(COUNTIF('Weekly Results'!$D$2:$D$2000,$A19)=0,"",_xlfn.MAXIFS('Weekly Results'!$I$2:$I$2000,'Weekly Results'!$D$2:$D$2000,$A19)))</f>
        <v/>
      </c>
      <c r="K19" s="17" t="str">
        <f>IF($A19="","",IF(COUNTIF('Weekly Results'!$D$2:$D$2000,$A19)=0,"",_xlfn.MAXIFS('Weekly Results'!$B$2:$B$2000,'Weekly Results'!$D$2:$D$2000,$A19)))</f>
        <v/>
      </c>
      <c r="L19" s="34" t="str">
        <f t="shared" si="2"/>
        <v/>
      </c>
    </row>
    <row r="20" spans="1:12" ht="15" customHeight="1" x14ac:dyDescent="0.35">
      <c r="A20" s="16" t="str">
        <f>IF(Athletes!A18="","",Athletes!A18)</f>
        <v/>
      </c>
      <c r="B20" s="16" t="str">
        <f>IF($A20="","",Athletes!B18)</f>
        <v/>
      </c>
      <c r="C20" s="16" t="str">
        <f>IF($A20="","",Athletes!C18)</f>
        <v/>
      </c>
      <c r="D20" s="29" t="str">
        <f>IF($A20="","",Athletes!J18)</f>
        <v/>
      </c>
      <c r="E20" s="29" t="str">
        <f>IF($A20="","",IF(COUNTIF('Weekly Results'!$D$2:$D$2000,$A20)=0,"",_xlfn.MAXIFS('Weekly Results'!$F$2:$F$2000,'Weekly Results'!$D$2:$D$2000,$A20)))</f>
        <v/>
      </c>
      <c r="F20" s="29" t="str">
        <f t="shared" si="0"/>
        <v/>
      </c>
      <c r="G20" s="30" t="str">
        <f t="shared" si="1"/>
        <v/>
      </c>
      <c r="H20" s="32" t="str">
        <f>IF($A20="","",IF(COUNTIF('Weekly Results'!$D$2:$D$2000,$A20)=0,"",_xlfn.MAXIFS('Weekly Results'!$G$2:$G$2000,'Weekly Results'!$D$2:$D$2000,$A20)))</f>
        <v/>
      </c>
      <c r="I20" s="32" t="str">
        <f>IF($A20="","",IF(COUNTIF('Weekly Results'!$D$2:$D$2000,$A20)=0,"",_xlfn.MAXIFS('Weekly Results'!$H$2:$H$2000,'Weekly Results'!$D$2:$D$2000,$A20)))</f>
        <v/>
      </c>
      <c r="J20" s="32" t="str">
        <f>IF($A20="","",IF(COUNTIF('Weekly Results'!$D$2:$D$2000,$A20)=0,"",_xlfn.MAXIFS('Weekly Results'!$I$2:$I$2000,'Weekly Results'!$D$2:$D$2000,$A20)))</f>
        <v/>
      </c>
      <c r="K20" s="17" t="str">
        <f>IF($A20="","",IF(COUNTIF('Weekly Results'!$D$2:$D$2000,$A20)=0,"",_xlfn.MAXIFS('Weekly Results'!$B$2:$B$2000,'Weekly Results'!$D$2:$D$2000,$A20)))</f>
        <v/>
      </c>
      <c r="L20" s="34" t="str">
        <f t="shared" si="2"/>
        <v/>
      </c>
    </row>
    <row r="21" spans="1:12" ht="15" customHeight="1" x14ac:dyDescent="0.35">
      <c r="A21" s="16" t="str">
        <f>IF(Athletes!A19="","",Athletes!A19)</f>
        <v/>
      </c>
      <c r="B21" s="16" t="str">
        <f>IF($A21="","",Athletes!B19)</f>
        <v/>
      </c>
      <c r="C21" s="16" t="str">
        <f>IF($A21="","",Athletes!C19)</f>
        <v/>
      </c>
      <c r="D21" s="29" t="str">
        <f>IF($A21="","",Athletes!J19)</f>
        <v/>
      </c>
      <c r="E21" s="29" t="str">
        <f>IF($A21="","",IF(COUNTIF('Weekly Results'!$D$2:$D$2000,$A21)=0,"",_xlfn.MAXIFS('Weekly Results'!$F$2:$F$2000,'Weekly Results'!$D$2:$D$2000,$A21)))</f>
        <v/>
      </c>
      <c r="F21" s="29" t="str">
        <f t="shared" si="0"/>
        <v/>
      </c>
      <c r="G21" s="30" t="str">
        <f t="shared" si="1"/>
        <v/>
      </c>
      <c r="H21" s="32" t="str">
        <f>IF($A21="","",IF(COUNTIF('Weekly Results'!$D$2:$D$2000,$A21)=0,"",_xlfn.MAXIFS('Weekly Results'!$G$2:$G$2000,'Weekly Results'!$D$2:$D$2000,$A21)))</f>
        <v/>
      </c>
      <c r="I21" s="32" t="str">
        <f>IF($A21="","",IF(COUNTIF('Weekly Results'!$D$2:$D$2000,$A21)=0,"",_xlfn.MAXIFS('Weekly Results'!$H$2:$H$2000,'Weekly Results'!$D$2:$D$2000,$A21)))</f>
        <v/>
      </c>
      <c r="J21" s="32" t="str">
        <f>IF($A21="","",IF(COUNTIF('Weekly Results'!$D$2:$D$2000,$A21)=0,"",_xlfn.MAXIFS('Weekly Results'!$I$2:$I$2000,'Weekly Results'!$D$2:$D$2000,$A21)))</f>
        <v/>
      </c>
      <c r="K21" s="17" t="str">
        <f>IF($A21="","",IF(COUNTIF('Weekly Results'!$D$2:$D$2000,$A21)=0,"",_xlfn.MAXIFS('Weekly Results'!$B$2:$B$2000,'Weekly Results'!$D$2:$D$2000,$A21)))</f>
        <v/>
      </c>
      <c r="L21" s="34" t="str">
        <f t="shared" si="2"/>
        <v/>
      </c>
    </row>
    <row r="22" spans="1:12" ht="15" customHeight="1" x14ac:dyDescent="0.35">
      <c r="A22" s="16" t="str">
        <f>IF(Athletes!A20="","",Athletes!A20)</f>
        <v/>
      </c>
      <c r="B22" s="16" t="str">
        <f>IF($A22="","",Athletes!B20)</f>
        <v/>
      </c>
      <c r="C22" s="16" t="str">
        <f>IF($A22="","",Athletes!C20)</f>
        <v/>
      </c>
      <c r="D22" s="29" t="str">
        <f>IF($A22="","",Athletes!J20)</f>
        <v/>
      </c>
      <c r="E22" s="29" t="str">
        <f>IF($A22="","",IF(COUNTIF('Weekly Results'!$D$2:$D$2000,$A22)=0,"",_xlfn.MAXIFS('Weekly Results'!$F$2:$F$2000,'Weekly Results'!$D$2:$D$2000,$A22)))</f>
        <v/>
      </c>
      <c r="F22" s="29" t="str">
        <f t="shared" si="0"/>
        <v/>
      </c>
      <c r="G22" s="30" t="str">
        <f t="shared" si="1"/>
        <v/>
      </c>
      <c r="H22" s="32" t="str">
        <f>IF($A22="","",IF(COUNTIF('Weekly Results'!$D$2:$D$2000,$A22)=0,"",_xlfn.MAXIFS('Weekly Results'!$G$2:$G$2000,'Weekly Results'!$D$2:$D$2000,$A22)))</f>
        <v/>
      </c>
      <c r="I22" s="32" t="str">
        <f>IF($A22="","",IF(COUNTIF('Weekly Results'!$D$2:$D$2000,$A22)=0,"",_xlfn.MAXIFS('Weekly Results'!$H$2:$H$2000,'Weekly Results'!$D$2:$D$2000,$A22)))</f>
        <v/>
      </c>
      <c r="J22" s="32" t="str">
        <f>IF($A22="","",IF(COUNTIF('Weekly Results'!$D$2:$D$2000,$A22)=0,"",_xlfn.MAXIFS('Weekly Results'!$I$2:$I$2000,'Weekly Results'!$D$2:$D$2000,$A22)))</f>
        <v/>
      </c>
      <c r="K22" s="17" t="str">
        <f>IF($A22="","",IF(COUNTIF('Weekly Results'!$D$2:$D$2000,$A22)=0,"",_xlfn.MAXIFS('Weekly Results'!$B$2:$B$2000,'Weekly Results'!$D$2:$D$2000,$A22)))</f>
        <v/>
      </c>
      <c r="L22" s="34" t="str">
        <f t="shared" si="2"/>
        <v/>
      </c>
    </row>
    <row r="23" spans="1:12" ht="15" customHeight="1" x14ac:dyDescent="0.35">
      <c r="A23" s="16" t="str">
        <f>IF(Athletes!A21="","",Athletes!A21)</f>
        <v/>
      </c>
      <c r="B23" s="16" t="str">
        <f>IF($A23="","",Athletes!B21)</f>
        <v/>
      </c>
      <c r="C23" s="16" t="str">
        <f>IF($A23="","",Athletes!C21)</f>
        <v/>
      </c>
      <c r="D23" s="29" t="str">
        <f>IF($A23="","",Athletes!J21)</f>
        <v/>
      </c>
      <c r="E23" s="29" t="str">
        <f>IF($A23="","",IF(COUNTIF('Weekly Results'!$D$2:$D$2000,$A23)=0,"",_xlfn.MAXIFS('Weekly Results'!$F$2:$F$2000,'Weekly Results'!$D$2:$D$2000,$A23)))</f>
        <v/>
      </c>
      <c r="F23" s="29" t="str">
        <f t="shared" si="0"/>
        <v/>
      </c>
      <c r="G23" s="30" t="str">
        <f t="shared" si="1"/>
        <v/>
      </c>
      <c r="H23" s="32" t="str">
        <f>IF($A23="","",IF(COUNTIF('Weekly Results'!$D$2:$D$2000,$A23)=0,"",_xlfn.MAXIFS('Weekly Results'!$G$2:$G$2000,'Weekly Results'!$D$2:$D$2000,$A23)))</f>
        <v/>
      </c>
      <c r="I23" s="32" t="str">
        <f>IF($A23="","",IF(COUNTIF('Weekly Results'!$D$2:$D$2000,$A23)=0,"",_xlfn.MAXIFS('Weekly Results'!$H$2:$H$2000,'Weekly Results'!$D$2:$D$2000,$A23)))</f>
        <v/>
      </c>
      <c r="J23" s="32" t="str">
        <f>IF($A23="","",IF(COUNTIF('Weekly Results'!$D$2:$D$2000,$A23)=0,"",_xlfn.MAXIFS('Weekly Results'!$I$2:$I$2000,'Weekly Results'!$D$2:$D$2000,$A23)))</f>
        <v/>
      </c>
      <c r="K23" s="17" t="str">
        <f>IF($A23="","",IF(COUNTIF('Weekly Results'!$D$2:$D$2000,$A23)=0,"",_xlfn.MAXIFS('Weekly Results'!$B$2:$B$2000,'Weekly Results'!$D$2:$D$2000,$A23)))</f>
        <v/>
      </c>
      <c r="L23" s="34" t="str">
        <f t="shared" si="2"/>
        <v/>
      </c>
    </row>
    <row r="24" spans="1:12" ht="15" customHeight="1" x14ac:dyDescent="0.35">
      <c r="A24" s="16" t="str">
        <f>IF(Athletes!A22="","",Athletes!A22)</f>
        <v/>
      </c>
      <c r="B24" s="16" t="str">
        <f>IF($A24="","",Athletes!B22)</f>
        <v/>
      </c>
      <c r="C24" s="16" t="str">
        <f>IF($A24="","",Athletes!C22)</f>
        <v/>
      </c>
      <c r="D24" s="29" t="str">
        <f>IF($A24="","",Athletes!J22)</f>
        <v/>
      </c>
      <c r="E24" s="29" t="str">
        <f>IF($A24="","",IF(COUNTIF('Weekly Results'!$D$2:$D$2000,$A24)=0,"",_xlfn.MAXIFS('Weekly Results'!$F$2:$F$2000,'Weekly Results'!$D$2:$D$2000,$A24)))</f>
        <v/>
      </c>
      <c r="F24" s="29" t="str">
        <f t="shared" si="0"/>
        <v/>
      </c>
      <c r="G24" s="30" t="str">
        <f t="shared" si="1"/>
        <v/>
      </c>
      <c r="H24" s="32" t="str">
        <f>IF($A24="","",IF(COUNTIF('Weekly Results'!$D$2:$D$2000,$A24)=0,"",_xlfn.MAXIFS('Weekly Results'!$G$2:$G$2000,'Weekly Results'!$D$2:$D$2000,$A24)))</f>
        <v/>
      </c>
      <c r="I24" s="32" t="str">
        <f>IF($A24="","",IF(COUNTIF('Weekly Results'!$D$2:$D$2000,$A24)=0,"",_xlfn.MAXIFS('Weekly Results'!$H$2:$H$2000,'Weekly Results'!$D$2:$D$2000,$A24)))</f>
        <v/>
      </c>
      <c r="J24" s="32" t="str">
        <f>IF($A24="","",IF(COUNTIF('Weekly Results'!$D$2:$D$2000,$A24)=0,"",_xlfn.MAXIFS('Weekly Results'!$I$2:$I$2000,'Weekly Results'!$D$2:$D$2000,$A24)))</f>
        <v/>
      </c>
      <c r="K24" s="17" t="str">
        <f>IF($A24="","",IF(COUNTIF('Weekly Results'!$D$2:$D$2000,$A24)=0,"",_xlfn.MAXIFS('Weekly Results'!$B$2:$B$2000,'Weekly Results'!$D$2:$D$2000,$A24)))</f>
        <v/>
      </c>
      <c r="L24" s="34" t="str">
        <f t="shared" si="2"/>
        <v/>
      </c>
    </row>
    <row r="25" spans="1:12" ht="15" customHeight="1" x14ac:dyDescent="0.35">
      <c r="A25" s="16" t="str">
        <f>IF(Athletes!A23="","",Athletes!A23)</f>
        <v/>
      </c>
      <c r="B25" s="16" t="str">
        <f>IF($A25="","",Athletes!B23)</f>
        <v/>
      </c>
      <c r="C25" s="16" t="str">
        <f>IF($A25="","",Athletes!C23)</f>
        <v/>
      </c>
      <c r="D25" s="29" t="str">
        <f>IF($A25="","",Athletes!J23)</f>
        <v/>
      </c>
      <c r="E25" s="29" t="str">
        <f>IF($A25="","",IF(COUNTIF('Weekly Results'!$D$2:$D$2000,$A25)=0,"",_xlfn.MAXIFS('Weekly Results'!$F$2:$F$2000,'Weekly Results'!$D$2:$D$2000,$A25)))</f>
        <v/>
      </c>
      <c r="F25" s="29" t="str">
        <f t="shared" si="0"/>
        <v/>
      </c>
      <c r="G25" s="30" t="str">
        <f t="shared" si="1"/>
        <v/>
      </c>
      <c r="H25" s="32" t="str">
        <f>IF($A25="","",IF(COUNTIF('Weekly Results'!$D$2:$D$2000,$A25)=0,"",_xlfn.MAXIFS('Weekly Results'!$G$2:$G$2000,'Weekly Results'!$D$2:$D$2000,$A25)))</f>
        <v/>
      </c>
      <c r="I25" s="32" t="str">
        <f>IF($A25="","",IF(COUNTIF('Weekly Results'!$D$2:$D$2000,$A25)=0,"",_xlfn.MAXIFS('Weekly Results'!$H$2:$H$2000,'Weekly Results'!$D$2:$D$2000,$A25)))</f>
        <v/>
      </c>
      <c r="J25" s="32" t="str">
        <f>IF($A25="","",IF(COUNTIF('Weekly Results'!$D$2:$D$2000,$A25)=0,"",_xlfn.MAXIFS('Weekly Results'!$I$2:$I$2000,'Weekly Results'!$D$2:$D$2000,$A25)))</f>
        <v/>
      </c>
      <c r="K25" s="17" t="str">
        <f>IF($A25="","",IF(COUNTIF('Weekly Results'!$D$2:$D$2000,$A25)=0,"",_xlfn.MAXIFS('Weekly Results'!$B$2:$B$2000,'Weekly Results'!$D$2:$D$2000,$A25)))</f>
        <v/>
      </c>
      <c r="L25" s="34" t="str">
        <f t="shared" si="2"/>
        <v/>
      </c>
    </row>
    <row r="26" spans="1:12" ht="15" customHeight="1" x14ac:dyDescent="0.35">
      <c r="A26" s="16" t="str">
        <f>IF(Athletes!A24="","",Athletes!A24)</f>
        <v/>
      </c>
      <c r="B26" s="16" t="str">
        <f>IF($A26="","",Athletes!B24)</f>
        <v/>
      </c>
      <c r="C26" s="16" t="str">
        <f>IF($A26="","",Athletes!C24)</f>
        <v/>
      </c>
      <c r="D26" s="29" t="str">
        <f>IF($A26="","",Athletes!J24)</f>
        <v/>
      </c>
      <c r="E26" s="29" t="str">
        <f>IF($A26="","",IF(COUNTIF('Weekly Results'!$D$2:$D$2000,$A26)=0,"",_xlfn.MAXIFS('Weekly Results'!$F$2:$F$2000,'Weekly Results'!$D$2:$D$2000,$A26)))</f>
        <v/>
      </c>
      <c r="F26" s="29" t="str">
        <f t="shared" si="0"/>
        <v/>
      </c>
      <c r="G26" s="30" t="str">
        <f t="shared" si="1"/>
        <v/>
      </c>
      <c r="H26" s="32" t="str">
        <f>IF($A26="","",IF(COUNTIF('Weekly Results'!$D$2:$D$2000,$A26)=0,"",_xlfn.MAXIFS('Weekly Results'!$G$2:$G$2000,'Weekly Results'!$D$2:$D$2000,$A26)))</f>
        <v/>
      </c>
      <c r="I26" s="32" t="str">
        <f>IF($A26="","",IF(COUNTIF('Weekly Results'!$D$2:$D$2000,$A26)=0,"",_xlfn.MAXIFS('Weekly Results'!$H$2:$H$2000,'Weekly Results'!$D$2:$D$2000,$A26)))</f>
        <v/>
      </c>
      <c r="J26" s="32" t="str">
        <f>IF($A26="","",IF(COUNTIF('Weekly Results'!$D$2:$D$2000,$A26)=0,"",_xlfn.MAXIFS('Weekly Results'!$I$2:$I$2000,'Weekly Results'!$D$2:$D$2000,$A26)))</f>
        <v/>
      </c>
      <c r="K26" s="17" t="str">
        <f>IF($A26="","",IF(COUNTIF('Weekly Results'!$D$2:$D$2000,$A26)=0,"",_xlfn.MAXIFS('Weekly Results'!$B$2:$B$2000,'Weekly Results'!$D$2:$D$2000,$A26)))</f>
        <v/>
      </c>
      <c r="L26" s="34" t="str">
        <f t="shared" si="2"/>
        <v/>
      </c>
    </row>
    <row r="27" spans="1:12" ht="15" customHeight="1" x14ac:dyDescent="0.35">
      <c r="A27" s="16" t="str">
        <f>IF(Athletes!A25="","",Athletes!A25)</f>
        <v/>
      </c>
      <c r="B27" s="16" t="str">
        <f>IF($A27="","",Athletes!B25)</f>
        <v/>
      </c>
      <c r="C27" s="16" t="str">
        <f>IF($A27="","",Athletes!C25)</f>
        <v/>
      </c>
      <c r="D27" s="29" t="str">
        <f>IF($A27="","",Athletes!J25)</f>
        <v/>
      </c>
      <c r="E27" s="29" t="str">
        <f>IF($A27="","",IF(COUNTIF('Weekly Results'!$D$2:$D$2000,$A27)=0,"",_xlfn.MAXIFS('Weekly Results'!$F$2:$F$2000,'Weekly Results'!$D$2:$D$2000,$A27)))</f>
        <v/>
      </c>
      <c r="F27" s="29" t="str">
        <f t="shared" si="0"/>
        <v/>
      </c>
      <c r="G27" s="30" t="str">
        <f t="shared" si="1"/>
        <v/>
      </c>
      <c r="H27" s="32" t="str">
        <f>IF($A27="","",IF(COUNTIF('Weekly Results'!$D$2:$D$2000,$A27)=0,"",_xlfn.MAXIFS('Weekly Results'!$G$2:$G$2000,'Weekly Results'!$D$2:$D$2000,$A27)))</f>
        <v/>
      </c>
      <c r="I27" s="32" t="str">
        <f>IF($A27="","",IF(COUNTIF('Weekly Results'!$D$2:$D$2000,$A27)=0,"",_xlfn.MAXIFS('Weekly Results'!$H$2:$H$2000,'Weekly Results'!$D$2:$D$2000,$A27)))</f>
        <v/>
      </c>
      <c r="J27" s="32" t="str">
        <f>IF($A27="","",IF(COUNTIF('Weekly Results'!$D$2:$D$2000,$A27)=0,"",_xlfn.MAXIFS('Weekly Results'!$I$2:$I$2000,'Weekly Results'!$D$2:$D$2000,$A27)))</f>
        <v/>
      </c>
      <c r="K27" s="17" t="str">
        <f>IF($A27="","",IF(COUNTIF('Weekly Results'!$D$2:$D$2000,$A27)=0,"",_xlfn.MAXIFS('Weekly Results'!$B$2:$B$2000,'Weekly Results'!$D$2:$D$2000,$A27)))</f>
        <v/>
      </c>
      <c r="L27" s="34" t="str">
        <f t="shared" si="2"/>
        <v/>
      </c>
    </row>
    <row r="28" spans="1:12" ht="15" customHeight="1" x14ac:dyDescent="0.35">
      <c r="A28" s="16" t="str">
        <f>IF(Athletes!A26="","",Athletes!A26)</f>
        <v/>
      </c>
      <c r="B28" s="16" t="str">
        <f>IF($A28="","",Athletes!B26)</f>
        <v/>
      </c>
      <c r="C28" s="16" t="str">
        <f>IF($A28="","",Athletes!C26)</f>
        <v/>
      </c>
      <c r="D28" s="29" t="str">
        <f>IF($A28="","",Athletes!J26)</f>
        <v/>
      </c>
      <c r="E28" s="29" t="str">
        <f>IF($A28="","",IF(COUNTIF('Weekly Results'!$D$2:$D$2000,$A28)=0,"",_xlfn.MAXIFS('Weekly Results'!$F$2:$F$2000,'Weekly Results'!$D$2:$D$2000,$A28)))</f>
        <v/>
      </c>
      <c r="F28" s="29" t="str">
        <f t="shared" si="0"/>
        <v/>
      </c>
      <c r="G28" s="30" t="str">
        <f t="shared" si="1"/>
        <v/>
      </c>
      <c r="H28" s="32" t="str">
        <f>IF($A28="","",IF(COUNTIF('Weekly Results'!$D$2:$D$2000,$A28)=0,"",_xlfn.MAXIFS('Weekly Results'!$G$2:$G$2000,'Weekly Results'!$D$2:$D$2000,$A28)))</f>
        <v/>
      </c>
      <c r="I28" s="32" t="str">
        <f>IF($A28="","",IF(COUNTIF('Weekly Results'!$D$2:$D$2000,$A28)=0,"",_xlfn.MAXIFS('Weekly Results'!$H$2:$H$2000,'Weekly Results'!$D$2:$D$2000,$A28)))</f>
        <v/>
      </c>
      <c r="J28" s="32" t="str">
        <f>IF($A28="","",IF(COUNTIF('Weekly Results'!$D$2:$D$2000,$A28)=0,"",_xlfn.MAXIFS('Weekly Results'!$I$2:$I$2000,'Weekly Results'!$D$2:$D$2000,$A28)))</f>
        <v/>
      </c>
      <c r="K28" s="17" t="str">
        <f>IF($A28="","",IF(COUNTIF('Weekly Results'!$D$2:$D$2000,$A28)=0,"",_xlfn.MAXIFS('Weekly Results'!$B$2:$B$2000,'Weekly Results'!$D$2:$D$2000,$A28)))</f>
        <v/>
      </c>
      <c r="L28" s="34" t="str">
        <f t="shared" si="2"/>
        <v/>
      </c>
    </row>
    <row r="29" spans="1:12" ht="15" customHeight="1" x14ac:dyDescent="0.35">
      <c r="A29" s="16" t="str">
        <f>IF(Athletes!A27="","",Athletes!A27)</f>
        <v/>
      </c>
      <c r="B29" s="16" t="str">
        <f>IF($A29="","",Athletes!B27)</f>
        <v/>
      </c>
      <c r="C29" s="16" t="str">
        <f>IF($A29="","",Athletes!C27)</f>
        <v/>
      </c>
      <c r="D29" s="29" t="str">
        <f>IF($A29="","",Athletes!J27)</f>
        <v/>
      </c>
      <c r="E29" s="29" t="str">
        <f>IF($A29="","",IF(COUNTIF('Weekly Results'!$D$2:$D$2000,$A29)=0,"",_xlfn.MAXIFS('Weekly Results'!$F$2:$F$2000,'Weekly Results'!$D$2:$D$2000,$A29)))</f>
        <v/>
      </c>
      <c r="F29" s="29" t="str">
        <f t="shared" si="0"/>
        <v/>
      </c>
      <c r="G29" s="30" t="str">
        <f t="shared" si="1"/>
        <v/>
      </c>
      <c r="H29" s="32" t="str">
        <f>IF($A29="","",IF(COUNTIF('Weekly Results'!$D$2:$D$2000,$A29)=0,"",_xlfn.MAXIFS('Weekly Results'!$G$2:$G$2000,'Weekly Results'!$D$2:$D$2000,$A29)))</f>
        <v/>
      </c>
      <c r="I29" s="32" t="str">
        <f>IF($A29="","",IF(COUNTIF('Weekly Results'!$D$2:$D$2000,$A29)=0,"",_xlfn.MAXIFS('Weekly Results'!$H$2:$H$2000,'Weekly Results'!$D$2:$D$2000,$A29)))</f>
        <v/>
      </c>
      <c r="J29" s="32" t="str">
        <f>IF($A29="","",IF(COUNTIF('Weekly Results'!$D$2:$D$2000,$A29)=0,"",_xlfn.MAXIFS('Weekly Results'!$I$2:$I$2000,'Weekly Results'!$D$2:$D$2000,$A29)))</f>
        <v/>
      </c>
      <c r="K29" s="17" t="str">
        <f>IF($A29="","",IF(COUNTIF('Weekly Results'!$D$2:$D$2000,$A29)=0,"",_xlfn.MAXIFS('Weekly Results'!$B$2:$B$2000,'Weekly Results'!$D$2:$D$2000,$A29)))</f>
        <v/>
      </c>
      <c r="L29" s="34" t="str">
        <f t="shared" si="2"/>
        <v/>
      </c>
    </row>
    <row r="30" spans="1:12" ht="15" customHeight="1" x14ac:dyDescent="0.35">
      <c r="A30" s="16" t="str">
        <f>IF(Athletes!A28="","",Athletes!A28)</f>
        <v/>
      </c>
      <c r="B30" s="16" t="str">
        <f>IF($A30="","",Athletes!B28)</f>
        <v/>
      </c>
      <c r="C30" s="16" t="str">
        <f>IF($A30="","",Athletes!C28)</f>
        <v/>
      </c>
      <c r="D30" s="29" t="str">
        <f>IF($A30="","",Athletes!J28)</f>
        <v/>
      </c>
      <c r="E30" s="29" t="str">
        <f>IF($A30="","",IF(COUNTIF('Weekly Results'!$D$2:$D$2000,$A30)=0,"",_xlfn.MAXIFS('Weekly Results'!$F$2:$F$2000,'Weekly Results'!$D$2:$D$2000,$A30)))</f>
        <v/>
      </c>
      <c r="F30" s="29" t="str">
        <f t="shared" si="0"/>
        <v/>
      </c>
      <c r="G30" s="30" t="str">
        <f t="shared" si="1"/>
        <v/>
      </c>
      <c r="H30" s="32" t="str">
        <f>IF($A30="","",IF(COUNTIF('Weekly Results'!$D$2:$D$2000,$A30)=0,"",_xlfn.MAXIFS('Weekly Results'!$G$2:$G$2000,'Weekly Results'!$D$2:$D$2000,$A30)))</f>
        <v/>
      </c>
      <c r="I30" s="32" t="str">
        <f>IF($A30="","",IF(COUNTIF('Weekly Results'!$D$2:$D$2000,$A30)=0,"",_xlfn.MAXIFS('Weekly Results'!$H$2:$H$2000,'Weekly Results'!$D$2:$D$2000,$A30)))</f>
        <v/>
      </c>
      <c r="J30" s="32" t="str">
        <f>IF($A30="","",IF(COUNTIF('Weekly Results'!$D$2:$D$2000,$A30)=0,"",_xlfn.MAXIFS('Weekly Results'!$I$2:$I$2000,'Weekly Results'!$D$2:$D$2000,$A30)))</f>
        <v/>
      </c>
      <c r="K30" s="17" t="str">
        <f>IF($A30="","",IF(COUNTIF('Weekly Results'!$D$2:$D$2000,$A30)=0,"",_xlfn.MAXIFS('Weekly Results'!$B$2:$B$2000,'Weekly Results'!$D$2:$D$2000,$A30)))</f>
        <v/>
      </c>
      <c r="L30" s="34" t="str">
        <f t="shared" si="2"/>
        <v/>
      </c>
    </row>
    <row r="31" spans="1:12" ht="15" customHeight="1" x14ac:dyDescent="0.35">
      <c r="A31" s="16" t="str">
        <f>IF(Athletes!A29="","",Athletes!A29)</f>
        <v/>
      </c>
      <c r="B31" s="16" t="str">
        <f>IF($A31="","",Athletes!B29)</f>
        <v/>
      </c>
      <c r="C31" s="16" t="str">
        <f>IF($A31="","",Athletes!C29)</f>
        <v/>
      </c>
      <c r="D31" s="29" t="str">
        <f>IF($A31="","",Athletes!J29)</f>
        <v/>
      </c>
      <c r="E31" s="29" t="str">
        <f>IF($A31="","",IF(COUNTIF('Weekly Results'!$D$2:$D$2000,$A31)=0,"",_xlfn.MAXIFS('Weekly Results'!$F$2:$F$2000,'Weekly Results'!$D$2:$D$2000,$A31)))</f>
        <v/>
      </c>
      <c r="F31" s="29" t="str">
        <f t="shared" si="0"/>
        <v/>
      </c>
      <c r="G31" s="30" t="str">
        <f t="shared" si="1"/>
        <v/>
      </c>
      <c r="H31" s="32" t="str">
        <f>IF($A31="","",IF(COUNTIF('Weekly Results'!$D$2:$D$2000,$A31)=0,"",_xlfn.MAXIFS('Weekly Results'!$G$2:$G$2000,'Weekly Results'!$D$2:$D$2000,$A31)))</f>
        <v/>
      </c>
      <c r="I31" s="32" t="str">
        <f>IF($A31="","",IF(COUNTIF('Weekly Results'!$D$2:$D$2000,$A31)=0,"",_xlfn.MAXIFS('Weekly Results'!$H$2:$H$2000,'Weekly Results'!$D$2:$D$2000,$A31)))</f>
        <v/>
      </c>
      <c r="J31" s="32" t="str">
        <f>IF($A31="","",IF(COUNTIF('Weekly Results'!$D$2:$D$2000,$A31)=0,"",_xlfn.MAXIFS('Weekly Results'!$I$2:$I$2000,'Weekly Results'!$D$2:$D$2000,$A31)))</f>
        <v/>
      </c>
      <c r="K31" s="17" t="str">
        <f>IF($A31="","",IF(COUNTIF('Weekly Results'!$D$2:$D$2000,$A31)=0,"",_xlfn.MAXIFS('Weekly Results'!$B$2:$B$2000,'Weekly Results'!$D$2:$D$2000,$A31)))</f>
        <v/>
      </c>
      <c r="L31" s="34" t="str">
        <f t="shared" si="2"/>
        <v/>
      </c>
    </row>
    <row r="32" spans="1:12" ht="15" customHeight="1" x14ac:dyDescent="0.35">
      <c r="A32" s="16" t="str">
        <f>IF(Athletes!A30="","",Athletes!A30)</f>
        <v/>
      </c>
      <c r="B32" s="16" t="str">
        <f>IF($A32="","",Athletes!B30)</f>
        <v/>
      </c>
      <c r="C32" s="16" t="str">
        <f>IF($A32="","",Athletes!C30)</f>
        <v/>
      </c>
      <c r="D32" s="29" t="str">
        <f>IF($A32="","",Athletes!J30)</f>
        <v/>
      </c>
      <c r="E32" s="29" t="str">
        <f>IF($A32="","",IF(COUNTIF('Weekly Results'!$D$2:$D$2000,$A32)=0,"",_xlfn.MAXIFS('Weekly Results'!$F$2:$F$2000,'Weekly Results'!$D$2:$D$2000,$A32)))</f>
        <v/>
      </c>
      <c r="F32" s="29" t="str">
        <f t="shared" si="0"/>
        <v/>
      </c>
      <c r="G32" s="30" t="str">
        <f t="shared" si="1"/>
        <v/>
      </c>
      <c r="H32" s="32" t="str">
        <f>IF($A32="","",IF(COUNTIF('Weekly Results'!$D$2:$D$2000,$A32)=0,"",_xlfn.MAXIFS('Weekly Results'!$G$2:$G$2000,'Weekly Results'!$D$2:$D$2000,$A32)))</f>
        <v/>
      </c>
      <c r="I32" s="32" t="str">
        <f>IF($A32="","",IF(COUNTIF('Weekly Results'!$D$2:$D$2000,$A32)=0,"",_xlfn.MAXIFS('Weekly Results'!$H$2:$H$2000,'Weekly Results'!$D$2:$D$2000,$A32)))</f>
        <v/>
      </c>
      <c r="J32" s="32" t="str">
        <f>IF($A32="","",IF(COUNTIF('Weekly Results'!$D$2:$D$2000,$A32)=0,"",_xlfn.MAXIFS('Weekly Results'!$I$2:$I$2000,'Weekly Results'!$D$2:$D$2000,$A32)))</f>
        <v/>
      </c>
      <c r="K32" s="17" t="str">
        <f>IF($A32="","",IF(COUNTIF('Weekly Results'!$D$2:$D$2000,$A32)=0,"",_xlfn.MAXIFS('Weekly Results'!$B$2:$B$2000,'Weekly Results'!$D$2:$D$2000,$A32)))</f>
        <v/>
      </c>
      <c r="L32" s="34" t="str">
        <f t="shared" si="2"/>
        <v/>
      </c>
    </row>
    <row r="33" spans="1:12" ht="15" customHeight="1" x14ac:dyDescent="0.35">
      <c r="A33" s="16" t="str">
        <f>IF(Athletes!A31="","",Athletes!A31)</f>
        <v/>
      </c>
      <c r="B33" s="16" t="str">
        <f>IF($A33="","",Athletes!B31)</f>
        <v/>
      </c>
      <c r="C33" s="16" t="str">
        <f>IF($A33="","",Athletes!C31)</f>
        <v/>
      </c>
      <c r="D33" s="29" t="str">
        <f>IF($A33="","",Athletes!J31)</f>
        <v/>
      </c>
      <c r="E33" s="29" t="str">
        <f>IF($A33="","",IF(COUNTIF('Weekly Results'!$D$2:$D$2000,$A33)=0,"",_xlfn.MAXIFS('Weekly Results'!$F$2:$F$2000,'Weekly Results'!$D$2:$D$2000,$A33)))</f>
        <v/>
      </c>
      <c r="F33" s="29" t="str">
        <f t="shared" si="0"/>
        <v/>
      </c>
      <c r="G33" s="30" t="str">
        <f t="shared" si="1"/>
        <v/>
      </c>
      <c r="H33" s="32" t="str">
        <f>IF($A33="","",IF(COUNTIF('Weekly Results'!$D$2:$D$2000,$A33)=0,"",_xlfn.MAXIFS('Weekly Results'!$G$2:$G$2000,'Weekly Results'!$D$2:$D$2000,$A33)))</f>
        <v/>
      </c>
      <c r="I33" s="32" t="str">
        <f>IF($A33="","",IF(COUNTIF('Weekly Results'!$D$2:$D$2000,$A33)=0,"",_xlfn.MAXIFS('Weekly Results'!$H$2:$H$2000,'Weekly Results'!$D$2:$D$2000,$A33)))</f>
        <v/>
      </c>
      <c r="J33" s="32" t="str">
        <f>IF($A33="","",IF(COUNTIF('Weekly Results'!$D$2:$D$2000,$A33)=0,"",_xlfn.MAXIFS('Weekly Results'!$I$2:$I$2000,'Weekly Results'!$D$2:$D$2000,$A33)))</f>
        <v/>
      </c>
      <c r="K33" s="17" t="str">
        <f>IF($A33="","",IF(COUNTIF('Weekly Results'!$D$2:$D$2000,$A33)=0,"",_xlfn.MAXIFS('Weekly Results'!$B$2:$B$2000,'Weekly Results'!$D$2:$D$2000,$A33)))</f>
        <v/>
      </c>
      <c r="L33" s="34" t="str">
        <f t="shared" si="2"/>
        <v/>
      </c>
    </row>
    <row r="34" spans="1:12" ht="15" customHeight="1" x14ac:dyDescent="0.35">
      <c r="A34" s="16" t="str">
        <f>IF(Athletes!A32="","",Athletes!A32)</f>
        <v/>
      </c>
      <c r="B34" s="16" t="str">
        <f>IF($A34="","",Athletes!B32)</f>
        <v/>
      </c>
      <c r="C34" s="16" t="str">
        <f>IF($A34="","",Athletes!C32)</f>
        <v/>
      </c>
      <c r="D34" s="29" t="str">
        <f>IF($A34="","",Athletes!J32)</f>
        <v/>
      </c>
      <c r="E34" s="29" t="str">
        <f>IF($A34="","",IF(COUNTIF('Weekly Results'!$D$2:$D$2000,$A34)=0,"",_xlfn.MAXIFS('Weekly Results'!$F$2:$F$2000,'Weekly Results'!$D$2:$D$2000,$A34)))</f>
        <v/>
      </c>
      <c r="F34" s="29" t="str">
        <f t="shared" si="0"/>
        <v/>
      </c>
      <c r="G34" s="30" t="str">
        <f t="shared" si="1"/>
        <v/>
      </c>
      <c r="H34" s="32" t="str">
        <f>IF($A34="","",IF(COUNTIF('Weekly Results'!$D$2:$D$2000,$A34)=0,"",_xlfn.MAXIFS('Weekly Results'!$G$2:$G$2000,'Weekly Results'!$D$2:$D$2000,$A34)))</f>
        <v/>
      </c>
      <c r="I34" s="32" t="str">
        <f>IF($A34="","",IF(COUNTIF('Weekly Results'!$D$2:$D$2000,$A34)=0,"",_xlfn.MAXIFS('Weekly Results'!$H$2:$H$2000,'Weekly Results'!$D$2:$D$2000,$A34)))</f>
        <v/>
      </c>
      <c r="J34" s="32" t="str">
        <f>IF($A34="","",IF(COUNTIF('Weekly Results'!$D$2:$D$2000,$A34)=0,"",_xlfn.MAXIFS('Weekly Results'!$I$2:$I$2000,'Weekly Results'!$D$2:$D$2000,$A34)))</f>
        <v/>
      </c>
      <c r="K34" s="17" t="str">
        <f>IF($A34="","",IF(COUNTIF('Weekly Results'!$D$2:$D$2000,$A34)=0,"",_xlfn.MAXIFS('Weekly Results'!$B$2:$B$2000,'Weekly Results'!$D$2:$D$2000,$A34)))</f>
        <v/>
      </c>
      <c r="L34" s="34" t="str">
        <f t="shared" si="2"/>
        <v/>
      </c>
    </row>
    <row r="35" spans="1:12" ht="15" customHeight="1" x14ac:dyDescent="0.35">
      <c r="A35" s="16" t="str">
        <f>IF(Athletes!A33="","",Athletes!A33)</f>
        <v/>
      </c>
      <c r="B35" s="16" t="str">
        <f>IF($A35="","",Athletes!B33)</f>
        <v/>
      </c>
      <c r="C35" s="16" t="str">
        <f>IF($A35="","",Athletes!C33)</f>
        <v/>
      </c>
      <c r="D35" s="29" t="str">
        <f>IF($A35="","",Athletes!J33)</f>
        <v/>
      </c>
      <c r="E35" s="29" t="str">
        <f>IF($A35="","",IF(COUNTIF('Weekly Results'!$D$2:$D$2000,$A35)=0,"",_xlfn.MAXIFS('Weekly Results'!$F$2:$F$2000,'Weekly Results'!$D$2:$D$2000,$A35)))</f>
        <v/>
      </c>
      <c r="F35" s="29" t="str">
        <f t="shared" si="0"/>
        <v/>
      </c>
      <c r="G35" s="30" t="str">
        <f t="shared" si="1"/>
        <v/>
      </c>
      <c r="H35" s="32" t="str">
        <f>IF($A35="","",IF(COUNTIF('Weekly Results'!$D$2:$D$2000,$A35)=0,"",_xlfn.MAXIFS('Weekly Results'!$G$2:$G$2000,'Weekly Results'!$D$2:$D$2000,$A35)))</f>
        <v/>
      </c>
      <c r="I35" s="32" t="str">
        <f>IF($A35="","",IF(COUNTIF('Weekly Results'!$D$2:$D$2000,$A35)=0,"",_xlfn.MAXIFS('Weekly Results'!$H$2:$H$2000,'Weekly Results'!$D$2:$D$2000,$A35)))</f>
        <v/>
      </c>
      <c r="J35" s="32" t="str">
        <f>IF($A35="","",IF(COUNTIF('Weekly Results'!$D$2:$D$2000,$A35)=0,"",_xlfn.MAXIFS('Weekly Results'!$I$2:$I$2000,'Weekly Results'!$D$2:$D$2000,$A35)))</f>
        <v/>
      </c>
      <c r="K35" s="17" t="str">
        <f>IF($A35="","",IF(COUNTIF('Weekly Results'!$D$2:$D$2000,$A35)=0,"",_xlfn.MAXIFS('Weekly Results'!$B$2:$B$2000,'Weekly Results'!$D$2:$D$2000,$A35)))</f>
        <v/>
      </c>
      <c r="L35" s="34" t="str">
        <f t="shared" si="2"/>
        <v/>
      </c>
    </row>
    <row r="36" spans="1:12" ht="15" customHeight="1" x14ac:dyDescent="0.35">
      <c r="A36" s="16" t="str">
        <f>IF(Athletes!A34="","",Athletes!A34)</f>
        <v/>
      </c>
      <c r="B36" s="16" t="str">
        <f>IF($A36="","",Athletes!B34)</f>
        <v/>
      </c>
      <c r="C36" s="16" t="str">
        <f>IF($A36="","",Athletes!C34)</f>
        <v/>
      </c>
      <c r="D36" s="29" t="str">
        <f>IF($A36="","",Athletes!J34)</f>
        <v/>
      </c>
      <c r="E36" s="29" t="str">
        <f>IF($A36="","",IF(COUNTIF('Weekly Results'!$D$2:$D$2000,$A36)=0,"",_xlfn.MAXIFS('Weekly Results'!$F$2:$F$2000,'Weekly Results'!$D$2:$D$2000,$A36)))</f>
        <v/>
      </c>
      <c r="F36" s="29" t="str">
        <f t="shared" si="0"/>
        <v/>
      </c>
      <c r="G36" s="30" t="str">
        <f t="shared" si="1"/>
        <v/>
      </c>
      <c r="H36" s="32" t="str">
        <f>IF($A36="","",IF(COUNTIF('Weekly Results'!$D$2:$D$2000,$A36)=0,"",_xlfn.MAXIFS('Weekly Results'!$G$2:$G$2000,'Weekly Results'!$D$2:$D$2000,$A36)))</f>
        <v/>
      </c>
      <c r="I36" s="32" t="str">
        <f>IF($A36="","",IF(COUNTIF('Weekly Results'!$D$2:$D$2000,$A36)=0,"",_xlfn.MAXIFS('Weekly Results'!$H$2:$H$2000,'Weekly Results'!$D$2:$D$2000,$A36)))</f>
        <v/>
      </c>
      <c r="J36" s="32" t="str">
        <f>IF($A36="","",IF(COUNTIF('Weekly Results'!$D$2:$D$2000,$A36)=0,"",_xlfn.MAXIFS('Weekly Results'!$I$2:$I$2000,'Weekly Results'!$D$2:$D$2000,$A36)))</f>
        <v/>
      </c>
      <c r="K36" s="17" t="str">
        <f>IF($A36="","",IF(COUNTIF('Weekly Results'!$D$2:$D$2000,$A36)=0,"",_xlfn.MAXIFS('Weekly Results'!$B$2:$B$2000,'Weekly Results'!$D$2:$D$2000,$A36)))</f>
        <v/>
      </c>
      <c r="L36" s="34" t="str">
        <f t="shared" si="2"/>
        <v/>
      </c>
    </row>
    <row r="37" spans="1:12" ht="15" customHeight="1" x14ac:dyDescent="0.35">
      <c r="A37" s="16" t="str">
        <f>IF(Athletes!A35="","",Athletes!A35)</f>
        <v/>
      </c>
      <c r="B37" s="16" t="str">
        <f>IF($A37="","",Athletes!B35)</f>
        <v/>
      </c>
      <c r="C37" s="16" t="str">
        <f>IF($A37="","",Athletes!C35)</f>
        <v/>
      </c>
      <c r="D37" s="29" t="str">
        <f>IF($A37="","",Athletes!J35)</f>
        <v/>
      </c>
      <c r="E37" s="29" t="str">
        <f>IF($A37="","",IF(COUNTIF('Weekly Results'!$D$2:$D$2000,$A37)=0,"",_xlfn.MAXIFS('Weekly Results'!$F$2:$F$2000,'Weekly Results'!$D$2:$D$2000,$A37)))</f>
        <v/>
      </c>
      <c r="F37" s="29" t="str">
        <f t="shared" si="0"/>
        <v/>
      </c>
      <c r="G37" s="30" t="str">
        <f t="shared" si="1"/>
        <v/>
      </c>
      <c r="H37" s="32" t="str">
        <f>IF($A37="","",IF(COUNTIF('Weekly Results'!$D$2:$D$2000,$A37)=0,"",_xlfn.MAXIFS('Weekly Results'!$G$2:$G$2000,'Weekly Results'!$D$2:$D$2000,$A37)))</f>
        <v/>
      </c>
      <c r="I37" s="32" t="str">
        <f>IF($A37="","",IF(COUNTIF('Weekly Results'!$D$2:$D$2000,$A37)=0,"",_xlfn.MAXIFS('Weekly Results'!$H$2:$H$2000,'Weekly Results'!$D$2:$D$2000,$A37)))</f>
        <v/>
      </c>
      <c r="J37" s="32" t="str">
        <f>IF($A37="","",IF(COUNTIF('Weekly Results'!$D$2:$D$2000,$A37)=0,"",_xlfn.MAXIFS('Weekly Results'!$I$2:$I$2000,'Weekly Results'!$D$2:$D$2000,$A37)))</f>
        <v/>
      </c>
      <c r="K37" s="17" t="str">
        <f>IF($A37="","",IF(COUNTIF('Weekly Results'!$D$2:$D$2000,$A37)=0,"",_xlfn.MAXIFS('Weekly Results'!$B$2:$B$2000,'Weekly Results'!$D$2:$D$2000,$A37)))</f>
        <v/>
      </c>
      <c r="L37" s="34" t="str">
        <f t="shared" si="2"/>
        <v/>
      </c>
    </row>
    <row r="38" spans="1:12" ht="15" customHeight="1" x14ac:dyDescent="0.35">
      <c r="A38" s="16" t="str">
        <f>IF(Athletes!A36="","",Athletes!A36)</f>
        <v/>
      </c>
      <c r="B38" s="16" t="str">
        <f>IF($A38="","",Athletes!B36)</f>
        <v/>
      </c>
      <c r="C38" s="16" t="str">
        <f>IF($A38="","",Athletes!C36)</f>
        <v/>
      </c>
      <c r="D38" s="29" t="str">
        <f>IF($A38="","",Athletes!J36)</f>
        <v/>
      </c>
      <c r="E38" s="29" t="str">
        <f>IF($A38="","",IF(COUNTIF('Weekly Results'!$D$2:$D$2000,$A38)=0,"",_xlfn.MAXIFS('Weekly Results'!$F$2:$F$2000,'Weekly Results'!$D$2:$D$2000,$A38)))</f>
        <v/>
      </c>
      <c r="F38" s="29" t="str">
        <f t="shared" si="0"/>
        <v/>
      </c>
      <c r="G38" s="30" t="str">
        <f t="shared" si="1"/>
        <v/>
      </c>
      <c r="H38" s="32" t="str">
        <f>IF($A38="","",IF(COUNTIF('Weekly Results'!$D$2:$D$2000,$A38)=0,"",_xlfn.MAXIFS('Weekly Results'!$G$2:$G$2000,'Weekly Results'!$D$2:$D$2000,$A38)))</f>
        <v/>
      </c>
      <c r="I38" s="32" t="str">
        <f>IF($A38="","",IF(COUNTIF('Weekly Results'!$D$2:$D$2000,$A38)=0,"",_xlfn.MAXIFS('Weekly Results'!$H$2:$H$2000,'Weekly Results'!$D$2:$D$2000,$A38)))</f>
        <v/>
      </c>
      <c r="J38" s="32" t="str">
        <f>IF($A38="","",IF(COUNTIF('Weekly Results'!$D$2:$D$2000,$A38)=0,"",_xlfn.MAXIFS('Weekly Results'!$I$2:$I$2000,'Weekly Results'!$D$2:$D$2000,$A38)))</f>
        <v/>
      </c>
      <c r="K38" s="17" t="str">
        <f>IF($A38="","",IF(COUNTIF('Weekly Results'!$D$2:$D$2000,$A38)=0,"",_xlfn.MAXIFS('Weekly Results'!$B$2:$B$2000,'Weekly Results'!$D$2:$D$2000,$A38)))</f>
        <v/>
      </c>
      <c r="L38" s="34" t="str">
        <f t="shared" si="2"/>
        <v/>
      </c>
    </row>
    <row r="39" spans="1:12" ht="15" customHeight="1" x14ac:dyDescent="0.35">
      <c r="A39" s="16" t="str">
        <f>IF(Athletes!A37="","",Athletes!A37)</f>
        <v/>
      </c>
      <c r="B39" s="16" t="str">
        <f>IF($A39="","",Athletes!B37)</f>
        <v/>
      </c>
      <c r="C39" s="16" t="str">
        <f>IF($A39="","",Athletes!C37)</f>
        <v/>
      </c>
      <c r="D39" s="29" t="str">
        <f>IF($A39="","",Athletes!J37)</f>
        <v/>
      </c>
      <c r="E39" s="29" t="str">
        <f>IF($A39="","",IF(COUNTIF('Weekly Results'!$D$2:$D$2000,$A39)=0,"",_xlfn.MAXIFS('Weekly Results'!$F$2:$F$2000,'Weekly Results'!$D$2:$D$2000,$A39)))</f>
        <v/>
      </c>
      <c r="F39" s="29" t="str">
        <f t="shared" si="0"/>
        <v/>
      </c>
      <c r="G39" s="30" t="str">
        <f t="shared" si="1"/>
        <v/>
      </c>
      <c r="H39" s="32" t="str">
        <f>IF($A39="","",IF(COUNTIF('Weekly Results'!$D$2:$D$2000,$A39)=0,"",_xlfn.MAXIFS('Weekly Results'!$G$2:$G$2000,'Weekly Results'!$D$2:$D$2000,$A39)))</f>
        <v/>
      </c>
      <c r="I39" s="32" t="str">
        <f>IF($A39="","",IF(COUNTIF('Weekly Results'!$D$2:$D$2000,$A39)=0,"",_xlfn.MAXIFS('Weekly Results'!$H$2:$H$2000,'Weekly Results'!$D$2:$D$2000,$A39)))</f>
        <v/>
      </c>
      <c r="J39" s="32" t="str">
        <f>IF($A39="","",IF(COUNTIF('Weekly Results'!$D$2:$D$2000,$A39)=0,"",_xlfn.MAXIFS('Weekly Results'!$I$2:$I$2000,'Weekly Results'!$D$2:$D$2000,$A39)))</f>
        <v/>
      </c>
      <c r="K39" s="17" t="str">
        <f>IF($A39="","",IF(COUNTIF('Weekly Results'!$D$2:$D$2000,$A39)=0,"",_xlfn.MAXIFS('Weekly Results'!$B$2:$B$2000,'Weekly Results'!$D$2:$D$2000,$A39)))</f>
        <v/>
      </c>
      <c r="L39" s="34" t="str">
        <f t="shared" si="2"/>
        <v/>
      </c>
    </row>
    <row r="40" spans="1:12" ht="15" customHeight="1" x14ac:dyDescent="0.35">
      <c r="A40" s="16" t="str">
        <f>IF(Athletes!A38="","",Athletes!A38)</f>
        <v/>
      </c>
      <c r="B40" s="16" t="str">
        <f>IF($A40="","",Athletes!B38)</f>
        <v/>
      </c>
      <c r="C40" s="16" t="str">
        <f>IF($A40="","",Athletes!C38)</f>
        <v/>
      </c>
      <c r="D40" s="29" t="str">
        <f>IF($A40="","",Athletes!J38)</f>
        <v/>
      </c>
      <c r="E40" s="29" t="str">
        <f>IF($A40="","",IF(COUNTIF('Weekly Results'!$D$2:$D$2000,$A40)=0,"",_xlfn.MAXIFS('Weekly Results'!$F$2:$F$2000,'Weekly Results'!$D$2:$D$2000,$A40)))</f>
        <v/>
      </c>
      <c r="F40" s="29" t="str">
        <f t="shared" si="0"/>
        <v/>
      </c>
      <c r="G40" s="30" t="str">
        <f t="shared" si="1"/>
        <v/>
      </c>
      <c r="H40" s="32" t="str">
        <f>IF($A40="","",IF(COUNTIF('Weekly Results'!$D$2:$D$2000,$A40)=0,"",_xlfn.MAXIFS('Weekly Results'!$G$2:$G$2000,'Weekly Results'!$D$2:$D$2000,$A40)))</f>
        <v/>
      </c>
      <c r="I40" s="32" t="str">
        <f>IF($A40="","",IF(COUNTIF('Weekly Results'!$D$2:$D$2000,$A40)=0,"",_xlfn.MAXIFS('Weekly Results'!$H$2:$H$2000,'Weekly Results'!$D$2:$D$2000,$A40)))</f>
        <v/>
      </c>
      <c r="J40" s="32" t="str">
        <f>IF($A40="","",IF(COUNTIF('Weekly Results'!$D$2:$D$2000,$A40)=0,"",_xlfn.MAXIFS('Weekly Results'!$I$2:$I$2000,'Weekly Results'!$D$2:$D$2000,$A40)))</f>
        <v/>
      </c>
      <c r="K40" s="17" t="str">
        <f>IF($A40="","",IF(COUNTIF('Weekly Results'!$D$2:$D$2000,$A40)=0,"",_xlfn.MAXIFS('Weekly Results'!$B$2:$B$2000,'Weekly Results'!$D$2:$D$2000,$A40)))</f>
        <v/>
      </c>
      <c r="L40" s="34" t="str">
        <f t="shared" si="2"/>
        <v/>
      </c>
    </row>
    <row r="41" spans="1:12" ht="15" customHeight="1" x14ac:dyDescent="0.35">
      <c r="A41" s="16" t="str">
        <f>IF(Athletes!A39="","",Athletes!A39)</f>
        <v/>
      </c>
      <c r="B41" s="16" t="str">
        <f>IF($A41="","",Athletes!B39)</f>
        <v/>
      </c>
      <c r="C41" s="16" t="str">
        <f>IF($A41="","",Athletes!C39)</f>
        <v/>
      </c>
      <c r="D41" s="29" t="str">
        <f>IF($A41="","",Athletes!J39)</f>
        <v/>
      </c>
      <c r="E41" s="29" t="str">
        <f>IF($A41="","",IF(COUNTIF('Weekly Results'!$D$2:$D$2000,$A41)=0,"",_xlfn.MAXIFS('Weekly Results'!$F$2:$F$2000,'Weekly Results'!$D$2:$D$2000,$A41)))</f>
        <v/>
      </c>
      <c r="F41" s="29" t="str">
        <f t="shared" si="0"/>
        <v/>
      </c>
      <c r="G41" s="30" t="str">
        <f t="shared" si="1"/>
        <v/>
      </c>
      <c r="H41" s="32" t="str">
        <f>IF($A41="","",IF(COUNTIF('Weekly Results'!$D$2:$D$2000,$A41)=0,"",_xlfn.MAXIFS('Weekly Results'!$G$2:$G$2000,'Weekly Results'!$D$2:$D$2000,$A41)))</f>
        <v/>
      </c>
      <c r="I41" s="32" t="str">
        <f>IF($A41="","",IF(COUNTIF('Weekly Results'!$D$2:$D$2000,$A41)=0,"",_xlfn.MAXIFS('Weekly Results'!$H$2:$H$2000,'Weekly Results'!$D$2:$D$2000,$A41)))</f>
        <v/>
      </c>
      <c r="J41" s="32" t="str">
        <f>IF($A41="","",IF(COUNTIF('Weekly Results'!$D$2:$D$2000,$A41)=0,"",_xlfn.MAXIFS('Weekly Results'!$I$2:$I$2000,'Weekly Results'!$D$2:$D$2000,$A41)))</f>
        <v/>
      </c>
      <c r="K41" s="17" t="str">
        <f>IF($A41="","",IF(COUNTIF('Weekly Results'!$D$2:$D$2000,$A41)=0,"",_xlfn.MAXIFS('Weekly Results'!$B$2:$B$2000,'Weekly Results'!$D$2:$D$2000,$A41)))</f>
        <v/>
      </c>
      <c r="L41" s="34" t="str">
        <f t="shared" si="2"/>
        <v/>
      </c>
    </row>
    <row r="42" spans="1:12" ht="15" customHeight="1" x14ac:dyDescent="0.35">
      <c r="A42" s="16" t="str">
        <f>IF(Athletes!A40="","",Athletes!A40)</f>
        <v/>
      </c>
      <c r="B42" s="16" t="str">
        <f>IF($A42="","",Athletes!B40)</f>
        <v/>
      </c>
      <c r="C42" s="16" t="str">
        <f>IF($A42="","",Athletes!C40)</f>
        <v/>
      </c>
      <c r="D42" s="29" t="str">
        <f>IF($A42="","",Athletes!J40)</f>
        <v/>
      </c>
      <c r="E42" s="29" t="str">
        <f>IF($A42="","",IF(COUNTIF('Weekly Results'!$D$2:$D$2000,$A42)=0,"",_xlfn.MAXIFS('Weekly Results'!$F$2:$F$2000,'Weekly Results'!$D$2:$D$2000,$A42)))</f>
        <v/>
      </c>
      <c r="F42" s="29" t="str">
        <f t="shared" si="0"/>
        <v/>
      </c>
      <c r="G42" s="30" t="str">
        <f t="shared" si="1"/>
        <v/>
      </c>
      <c r="H42" s="32" t="str">
        <f>IF($A42="","",IF(COUNTIF('Weekly Results'!$D$2:$D$2000,$A42)=0,"",_xlfn.MAXIFS('Weekly Results'!$G$2:$G$2000,'Weekly Results'!$D$2:$D$2000,$A42)))</f>
        <v/>
      </c>
      <c r="I42" s="32" t="str">
        <f>IF($A42="","",IF(COUNTIF('Weekly Results'!$D$2:$D$2000,$A42)=0,"",_xlfn.MAXIFS('Weekly Results'!$H$2:$H$2000,'Weekly Results'!$D$2:$D$2000,$A42)))</f>
        <v/>
      </c>
      <c r="J42" s="32" t="str">
        <f>IF($A42="","",IF(COUNTIF('Weekly Results'!$D$2:$D$2000,$A42)=0,"",_xlfn.MAXIFS('Weekly Results'!$I$2:$I$2000,'Weekly Results'!$D$2:$D$2000,$A42)))</f>
        <v/>
      </c>
      <c r="K42" s="17" t="str">
        <f>IF($A42="","",IF(COUNTIF('Weekly Results'!$D$2:$D$2000,$A42)=0,"",_xlfn.MAXIFS('Weekly Results'!$B$2:$B$2000,'Weekly Results'!$D$2:$D$2000,$A42)))</f>
        <v/>
      </c>
      <c r="L42" s="34" t="str">
        <f t="shared" si="2"/>
        <v/>
      </c>
    </row>
    <row r="43" spans="1:12" ht="15" customHeight="1" x14ac:dyDescent="0.35">
      <c r="A43" s="16" t="str">
        <f>IF(Athletes!A41="","",Athletes!A41)</f>
        <v/>
      </c>
      <c r="B43" s="16" t="str">
        <f>IF($A43="","",Athletes!B41)</f>
        <v/>
      </c>
      <c r="C43" s="16" t="str">
        <f>IF($A43="","",Athletes!C41)</f>
        <v/>
      </c>
      <c r="D43" s="29" t="str">
        <f>IF($A43="","",Athletes!J41)</f>
        <v/>
      </c>
      <c r="E43" s="29" t="str">
        <f>IF($A43="","",IF(COUNTIF('Weekly Results'!$D$2:$D$2000,$A43)=0,"",_xlfn.MAXIFS('Weekly Results'!$F$2:$F$2000,'Weekly Results'!$D$2:$D$2000,$A43)))</f>
        <v/>
      </c>
      <c r="F43" s="29" t="str">
        <f t="shared" si="0"/>
        <v/>
      </c>
      <c r="G43" s="30" t="str">
        <f t="shared" si="1"/>
        <v/>
      </c>
      <c r="H43" s="32" t="str">
        <f>IF($A43="","",IF(COUNTIF('Weekly Results'!$D$2:$D$2000,$A43)=0,"",_xlfn.MAXIFS('Weekly Results'!$G$2:$G$2000,'Weekly Results'!$D$2:$D$2000,$A43)))</f>
        <v/>
      </c>
      <c r="I43" s="32" t="str">
        <f>IF($A43="","",IF(COUNTIF('Weekly Results'!$D$2:$D$2000,$A43)=0,"",_xlfn.MAXIFS('Weekly Results'!$H$2:$H$2000,'Weekly Results'!$D$2:$D$2000,$A43)))</f>
        <v/>
      </c>
      <c r="J43" s="32" t="str">
        <f>IF($A43="","",IF(COUNTIF('Weekly Results'!$D$2:$D$2000,$A43)=0,"",_xlfn.MAXIFS('Weekly Results'!$I$2:$I$2000,'Weekly Results'!$D$2:$D$2000,$A43)))</f>
        <v/>
      </c>
      <c r="K43" s="17" t="str">
        <f>IF($A43="","",IF(COUNTIF('Weekly Results'!$D$2:$D$2000,$A43)=0,"",_xlfn.MAXIFS('Weekly Results'!$B$2:$B$2000,'Weekly Results'!$D$2:$D$2000,$A43)))</f>
        <v/>
      </c>
      <c r="L43" s="34" t="str">
        <f t="shared" si="2"/>
        <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7"/>
  <sheetViews>
    <sheetView zoomScaleNormal="100" workbookViewId="0"/>
  </sheetViews>
  <sheetFormatPr defaultColWidth="8.6328125" defaultRowHeight="14.5" x14ac:dyDescent="0.35"/>
  <cols>
    <col min="1" max="1" width="26" style="1" customWidth="1"/>
    <col min="2" max="2" width="15.81640625" style="1" customWidth="1"/>
    <col min="3" max="5" width="13" style="1" customWidth="1"/>
  </cols>
  <sheetData>
    <row r="1" spans="1:5" ht="17.25" customHeight="1" x14ac:dyDescent="0.4">
      <c r="A1" s="25" t="s">
        <v>229</v>
      </c>
    </row>
    <row r="3" spans="1:5" ht="15" customHeight="1" x14ac:dyDescent="0.35">
      <c r="A3" s="42"/>
      <c r="B3" s="42" t="s">
        <v>230</v>
      </c>
      <c r="C3" s="42" t="s">
        <v>231</v>
      </c>
      <c r="D3" s="42" t="s">
        <v>232</v>
      </c>
      <c r="E3" s="42" t="s">
        <v>233</v>
      </c>
    </row>
    <row r="4" spans="1:5" ht="15" customHeight="1" x14ac:dyDescent="0.35">
      <c r="A4" s="13" t="s">
        <v>234</v>
      </c>
      <c r="B4" s="43">
        <v>0.9</v>
      </c>
      <c r="C4" s="43">
        <v>0.85</v>
      </c>
      <c r="D4" s="43">
        <v>0.82</v>
      </c>
      <c r="E4" s="43">
        <v>0.95</v>
      </c>
    </row>
    <row r="5" spans="1:5" ht="15" customHeight="1" x14ac:dyDescent="0.35">
      <c r="A5" s="13" t="s">
        <v>235</v>
      </c>
      <c r="B5" s="44" t="s">
        <v>236</v>
      </c>
      <c r="C5" s="44" t="s">
        <v>237</v>
      </c>
      <c r="D5" s="44" t="s">
        <v>238</v>
      </c>
      <c r="E5" s="44" t="s">
        <v>239</v>
      </c>
    </row>
    <row r="6" spans="1:5" ht="15" customHeight="1" x14ac:dyDescent="0.35">
      <c r="A6" s="45" t="s">
        <v>240</v>
      </c>
    </row>
    <row r="7" spans="1:5" ht="15" customHeight="1" x14ac:dyDescent="0.35">
      <c r="A7" s="28" t="s">
        <v>241</v>
      </c>
      <c r="B7" s="46">
        <v>0.8</v>
      </c>
      <c r="C7" s="46">
        <v>0.78</v>
      </c>
      <c r="D7" s="46">
        <v>0.81899999999999995</v>
      </c>
      <c r="E7" s="46">
        <v>0.8701875</v>
      </c>
    </row>
    <row r="8" spans="1:5" ht="15" customHeight="1" x14ac:dyDescent="0.35">
      <c r="A8" s="28" t="s">
        <v>242</v>
      </c>
      <c r="B8" s="46">
        <v>0.72</v>
      </c>
      <c r="C8" s="46">
        <v>0.70199999999999996</v>
      </c>
      <c r="D8" s="46">
        <v>0.73709999999999998</v>
      </c>
      <c r="E8" s="46">
        <v>0.78316874999999997</v>
      </c>
    </row>
    <row r="9" spans="1:5" ht="15" customHeight="1" x14ac:dyDescent="0.35">
      <c r="A9" s="28" t="s">
        <v>243</v>
      </c>
      <c r="B9" s="46">
        <v>0.64800000000000002</v>
      </c>
      <c r="C9" s="46">
        <v>0.71955000000000002</v>
      </c>
      <c r="D9" s="46">
        <v>0.66339000000000004</v>
      </c>
      <c r="E9" s="46">
        <v>0.80274796879999999</v>
      </c>
    </row>
    <row r="10" spans="1:5" ht="15" customHeight="1" x14ac:dyDescent="0.35">
      <c r="A10" s="28" t="s">
        <v>244</v>
      </c>
      <c r="B10" s="46">
        <v>0.71279999999999999</v>
      </c>
      <c r="C10" s="46">
        <v>0.75552750000000002</v>
      </c>
      <c r="D10" s="46">
        <v>0.72972899999999996</v>
      </c>
      <c r="E10" s="46">
        <v>0.88302276560000004</v>
      </c>
    </row>
    <row r="11" spans="1:5" ht="15" customHeight="1" x14ac:dyDescent="0.35">
      <c r="A11" s="28" t="s">
        <v>245</v>
      </c>
      <c r="B11" s="46">
        <v>0.78408</v>
      </c>
      <c r="C11" s="46">
        <v>0.79330387499999999</v>
      </c>
      <c r="D11" s="46">
        <v>0.80270189999999997</v>
      </c>
      <c r="E11" s="46">
        <v>0.90509833480000002</v>
      </c>
    </row>
    <row r="14" spans="1:5" ht="15" customHeight="1" x14ac:dyDescent="0.35">
      <c r="A14" s="45" t="s">
        <v>246</v>
      </c>
    </row>
    <row r="15" spans="1:5" ht="15" customHeight="1" x14ac:dyDescent="0.35">
      <c r="A15" s="42" t="s">
        <v>247</v>
      </c>
      <c r="B15" s="42" t="s">
        <v>248</v>
      </c>
      <c r="C15" s="42" t="s">
        <v>249</v>
      </c>
    </row>
    <row r="16" spans="1:5" ht="15" customHeight="1" x14ac:dyDescent="0.35">
      <c r="A16" s="7" t="s">
        <v>70</v>
      </c>
      <c r="B16" s="7" t="s">
        <v>58</v>
      </c>
      <c r="C16" s="43">
        <v>0.8</v>
      </c>
    </row>
    <row r="17" spans="1:3" ht="15" customHeight="1" x14ac:dyDescent="0.35">
      <c r="A17" s="7" t="s">
        <v>72</v>
      </c>
      <c r="B17" s="7" t="s">
        <v>47</v>
      </c>
      <c r="C17" s="43">
        <v>0.8</v>
      </c>
    </row>
    <row r="18" spans="1:3" ht="15" customHeight="1" x14ac:dyDescent="0.35">
      <c r="A18" s="7" t="s">
        <v>73</v>
      </c>
      <c r="B18" s="7" t="s">
        <v>53</v>
      </c>
      <c r="C18" s="43">
        <v>0.8</v>
      </c>
    </row>
    <row r="19" spans="1:3" ht="15" customHeight="1" x14ac:dyDescent="0.35">
      <c r="A19" s="7" t="s">
        <v>74</v>
      </c>
      <c r="B19" s="7" t="s">
        <v>62</v>
      </c>
      <c r="C19" s="43">
        <v>0.8</v>
      </c>
    </row>
    <row r="20" spans="1:3" ht="15" customHeight="1" x14ac:dyDescent="0.35">
      <c r="A20" s="7" t="s">
        <v>75</v>
      </c>
      <c r="B20" s="7" t="s">
        <v>53</v>
      </c>
      <c r="C20" s="43">
        <v>0.8</v>
      </c>
    </row>
    <row r="21" spans="1:3" ht="15" customHeight="1" x14ac:dyDescent="0.35">
      <c r="A21" s="7" t="s">
        <v>76</v>
      </c>
      <c r="B21" s="7" t="s">
        <v>53</v>
      </c>
      <c r="C21" s="43">
        <v>0.8</v>
      </c>
    </row>
    <row r="22" spans="1:3" ht="15" customHeight="1" x14ac:dyDescent="0.35">
      <c r="A22" s="7" t="s">
        <v>77</v>
      </c>
      <c r="B22" s="7" t="s">
        <v>73</v>
      </c>
      <c r="C22" s="43">
        <v>0.8</v>
      </c>
    </row>
    <row r="23" spans="1:3" ht="15" customHeight="1" x14ac:dyDescent="0.35">
      <c r="A23" s="7" t="s">
        <v>78</v>
      </c>
      <c r="B23" s="7" t="s">
        <v>62</v>
      </c>
      <c r="C23" s="43">
        <v>1.1499999999999999</v>
      </c>
    </row>
    <row r="24" spans="1:3" ht="15" customHeight="1" x14ac:dyDescent="0.35">
      <c r="A24" s="7" t="s">
        <v>79</v>
      </c>
      <c r="B24" s="7" t="s">
        <v>65</v>
      </c>
      <c r="C24" s="43">
        <v>1.1499999999999999</v>
      </c>
    </row>
    <row r="27" spans="1:3" ht="15" customHeight="1" x14ac:dyDescent="0.35">
      <c r="A27" s="15" t="s">
        <v>250</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45"/>
  <sheetViews>
    <sheetView zoomScaleNormal="100" workbookViewId="0">
      <pane xSplit="2" ySplit="3" topLeftCell="C6" activePane="bottomRight" state="frozen"/>
      <selection pane="topRight" activeCell="C1" sqref="C1"/>
      <selection pane="bottomLeft" activeCell="A4" sqref="A4"/>
      <selection pane="bottomRight"/>
    </sheetView>
  </sheetViews>
  <sheetFormatPr defaultColWidth="8.6328125" defaultRowHeight="14.5" x14ac:dyDescent="0.35"/>
  <cols>
    <col min="1" max="1" width="5" style="1" customWidth="1"/>
    <col min="2" max="2" width="20" style="1" customWidth="1"/>
    <col min="3" max="8" width="13" style="1" customWidth="1"/>
    <col min="9" max="9" width="12" style="1" customWidth="1"/>
    <col min="10" max="12" width="13" style="1" customWidth="1"/>
    <col min="13" max="13" width="15" style="1" customWidth="1"/>
    <col min="14" max="14" width="13" style="1" customWidth="1"/>
    <col min="15" max="16" width="15" style="1" customWidth="1"/>
    <col min="17" max="18" width="13" style="1" customWidth="1"/>
  </cols>
  <sheetData>
    <row r="1" spans="1:18" ht="17.25" customHeight="1" x14ac:dyDescent="0.4">
      <c r="A1" s="25" t="s">
        <v>251</v>
      </c>
    </row>
    <row r="3" spans="1:18" ht="39" customHeight="1" x14ac:dyDescent="0.35">
      <c r="A3" s="42" t="s">
        <v>252</v>
      </c>
      <c r="B3" s="42" t="s">
        <v>81</v>
      </c>
      <c r="C3" s="42" t="s">
        <v>47</v>
      </c>
      <c r="D3" s="42" t="s">
        <v>53</v>
      </c>
      <c r="E3" s="42" t="s">
        <v>58</v>
      </c>
      <c r="F3" s="42" t="s">
        <v>62</v>
      </c>
      <c r="G3" s="42" t="s">
        <v>65</v>
      </c>
      <c r="H3" s="42" t="s">
        <v>68</v>
      </c>
      <c r="I3" s="42" t="s">
        <v>253</v>
      </c>
      <c r="J3" s="42" t="s">
        <v>70</v>
      </c>
      <c r="K3" s="42" t="s">
        <v>72</v>
      </c>
      <c r="L3" s="42" t="s">
        <v>73</v>
      </c>
      <c r="M3" s="42" t="s">
        <v>74</v>
      </c>
      <c r="N3" s="42" t="s">
        <v>75</v>
      </c>
      <c r="O3" s="42" t="s">
        <v>76</v>
      </c>
      <c r="P3" s="42" t="s">
        <v>77</v>
      </c>
      <c r="Q3" s="42" t="s">
        <v>78</v>
      </c>
      <c r="R3" s="42" t="s">
        <v>79</v>
      </c>
    </row>
    <row r="4" spans="1:18" ht="15" customHeight="1" x14ac:dyDescent="0.35">
      <c r="A4" s="7">
        <v>1</v>
      </c>
      <c r="B4" s="47" t="s">
        <v>254</v>
      </c>
      <c r="C4" s="48">
        <v>235</v>
      </c>
      <c r="D4" s="48">
        <v>210</v>
      </c>
      <c r="E4" s="48">
        <v>315</v>
      </c>
      <c r="F4" s="48">
        <v>135</v>
      </c>
      <c r="G4" s="48">
        <v>85</v>
      </c>
      <c r="H4" s="48">
        <v>200</v>
      </c>
      <c r="I4" s="49"/>
      <c r="J4" s="50">
        <f>IF(OR($E4="",$E4=0),"",CEILING($E4*'Set % Engine'!$C$16,5))</f>
        <v>255</v>
      </c>
      <c r="K4" s="50">
        <f>IF(OR($C4="",$C4=0),"",CEILING($C4*'Set % Engine'!$C$17,5))</f>
        <v>190</v>
      </c>
      <c r="L4" s="50">
        <f>IF(OR($D4="",$D4=0),"",CEILING($D4*'Set % Engine'!$C$18,5))</f>
        <v>170</v>
      </c>
      <c r="M4" s="50">
        <f>IF(OR($F4="",$F4=0),"",CEILING($F4*'Set % Engine'!$C$19,5))</f>
        <v>110</v>
      </c>
      <c r="N4" s="50">
        <f>IF(OR($D4="",$D4=0),"",CEILING($D4*'Set % Engine'!$C$20,5))</f>
        <v>170</v>
      </c>
      <c r="O4" s="50">
        <f>IF(OR($D4="",$D4=0),"",CEILING($D4*'Set % Engine'!$C$21,5))</f>
        <v>170</v>
      </c>
      <c r="P4" s="50">
        <f>IF(OR($L4="",$L4=0),"",CEILING($L4*'Set % Engine'!$C$22,5))</f>
        <v>140</v>
      </c>
      <c r="Q4" s="50">
        <f>IF(OR($F4="",$F4=0),"",CEILING($F4*'Set % Engine'!$C$23,5))</f>
        <v>160</v>
      </c>
      <c r="R4" s="50">
        <f>IF(OR($G4="",$G4=0),"",CEILING($G4*'Set % Engine'!$C$24,5))</f>
        <v>100</v>
      </c>
    </row>
    <row r="5" spans="1:18" ht="15" customHeight="1" x14ac:dyDescent="0.35">
      <c r="A5" s="7">
        <v>2</v>
      </c>
      <c r="B5" s="47" t="s">
        <v>255</v>
      </c>
      <c r="C5" s="48"/>
      <c r="D5" s="48"/>
      <c r="E5" s="48"/>
      <c r="F5" s="48"/>
      <c r="G5" s="48"/>
      <c r="H5" s="48"/>
      <c r="I5" s="49"/>
      <c r="J5" s="50" t="str">
        <f>IF(OR($E5="",$E5=0),"",CEILING($E5*'Set % Engine'!$C$16,5))</f>
        <v/>
      </c>
      <c r="K5" s="50" t="str">
        <f>IF(OR($C5="",$C5=0),"",CEILING($C5*'Set % Engine'!$C$17,5))</f>
        <v/>
      </c>
      <c r="L5" s="50" t="str">
        <f>IF(OR($D5="",$D5=0),"",CEILING($D5*'Set % Engine'!$C$18,5))</f>
        <v/>
      </c>
      <c r="M5" s="50" t="str">
        <f>IF(OR($F5="",$F5=0),"",CEILING($F5*'Set % Engine'!$C$19,5))</f>
        <v/>
      </c>
      <c r="N5" s="50" t="str">
        <f>IF(OR($D5="",$D5=0),"",CEILING($D5*'Set % Engine'!$C$20,5))</f>
        <v/>
      </c>
      <c r="O5" s="50" t="str">
        <f>IF(OR($D5="",$D5=0),"",CEILING($D5*'Set % Engine'!$C$21,5))</f>
        <v/>
      </c>
      <c r="P5" s="50" t="str">
        <f>IF(OR($L5="",$L5=0),"",CEILING($L5*'Set % Engine'!$C$22,5))</f>
        <v/>
      </c>
      <c r="Q5" s="50" t="str">
        <f>IF(OR($F5="",$F5=0),"",CEILING($F5*'Set % Engine'!$C$23,5))</f>
        <v/>
      </c>
      <c r="R5" s="50" t="str">
        <f>IF(OR($G5="",$G5=0),"",CEILING($G5*'Set % Engine'!$C$24,5))</f>
        <v/>
      </c>
    </row>
    <row r="6" spans="1:18" ht="15" customHeight="1" x14ac:dyDescent="0.35">
      <c r="A6" s="7">
        <v>3</v>
      </c>
      <c r="B6" s="47" t="s">
        <v>256</v>
      </c>
      <c r="C6" s="48">
        <v>215</v>
      </c>
      <c r="D6" s="48">
        <v>185</v>
      </c>
      <c r="E6" s="48">
        <v>305</v>
      </c>
      <c r="F6" s="48">
        <v>125</v>
      </c>
      <c r="G6" s="48">
        <v>100</v>
      </c>
      <c r="H6" s="48">
        <v>205</v>
      </c>
      <c r="I6" s="49"/>
      <c r="J6" s="50">
        <f>IF(OR($E6="",$E6=0),"",CEILING($E6*'Set % Engine'!$C$16,5))</f>
        <v>245</v>
      </c>
      <c r="K6" s="50">
        <f>IF(OR($C6="",$C6=0),"",CEILING($C6*'Set % Engine'!$C$17,5))</f>
        <v>175</v>
      </c>
      <c r="L6" s="50">
        <f>IF(OR($D6="",$D6=0),"",CEILING($D6*'Set % Engine'!$C$18,5))</f>
        <v>150</v>
      </c>
      <c r="M6" s="50">
        <f>IF(OR($F6="",$F6=0),"",CEILING($F6*'Set % Engine'!$C$19,5))</f>
        <v>100</v>
      </c>
      <c r="N6" s="50">
        <f>IF(OR($D6="",$D6=0),"",CEILING($D6*'Set % Engine'!$C$20,5))</f>
        <v>150</v>
      </c>
      <c r="O6" s="50">
        <f>IF(OR($D6="",$D6=0),"",CEILING($D6*'Set % Engine'!$C$21,5))</f>
        <v>150</v>
      </c>
      <c r="P6" s="50">
        <f>IF(OR($L6="",$L6=0),"",CEILING($L6*'Set % Engine'!$C$22,5))</f>
        <v>120</v>
      </c>
      <c r="Q6" s="50">
        <f>IF(OR($F6="",$F6=0),"",CEILING($F6*'Set % Engine'!$C$23,5))</f>
        <v>145</v>
      </c>
      <c r="R6" s="50">
        <f>IF(OR($G6="",$G6=0),"",CEILING($G6*'Set % Engine'!$C$24,5))</f>
        <v>115</v>
      </c>
    </row>
    <row r="7" spans="1:18" ht="15" customHeight="1" x14ac:dyDescent="0.35">
      <c r="A7" s="7">
        <v>4</v>
      </c>
      <c r="B7" s="47" t="s">
        <v>257</v>
      </c>
      <c r="C7" s="48">
        <v>205</v>
      </c>
      <c r="D7" s="48">
        <v>185</v>
      </c>
      <c r="E7" s="48">
        <v>295</v>
      </c>
      <c r="F7" s="48">
        <v>135</v>
      </c>
      <c r="G7" s="48"/>
      <c r="H7" s="48"/>
      <c r="I7" s="49"/>
      <c r="J7" s="50">
        <f>IF(OR($E7="",$E7=0),"",CEILING($E7*'Set % Engine'!$C$16,5))</f>
        <v>240</v>
      </c>
      <c r="K7" s="50">
        <f>IF(OR($C7="",$C7=0),"",CEILING($C7*'Set % Engine'!$C$17,5))</f>
        <v>165</v>
      </c>
      <c r="L7" s="50">
        <f>IF(OR($D7="",$D7=0),"",CEILING($D7*'Set % Engine'!$C$18,5))</f>
        <v>150</v>
      </c>
      <c r="M7" s="50">
        <f>IF(OR($F7="",$F7=0),"",CEILING($F7*'Set % Engine'!$C$19,5))</f>
        <v>110</v>
      </c>
      <c r="N7" s="50">
        <f>IF(OR($D7="",$D7=0),"",CEILING($D7*'Set % Engine'!$C$20,5))</f>
        <v>150</v>
      </c>
      <c r="O7" s="50">
        <f>IF(OR($D7="",$D7=0),"",CEILING($D7*'Set % Engine'!$C$21,5))</f>
        <v>150</v>
      </c>
      <c r="P7" s="50">
        <f>IF(OR($L7="",$L7=0),"",CEILING($L7*'Set % Engine'!$C$22,5))</f>
        <v>120</v>
      </c>
      <c r="Q7" s="50">
        <f>IF(OR($F7="",$F7=0),"",CEILING($F7*'Set % Engine'!$C$23,5))</f>
        <v>160</v>
      </c>
      <c r="R7" s="50" t="str">
        <f>IF(OR($G7="",$G7=0),"",CEILING($G7*'Set % Engine'!$C$24,5))</f>
        <v/>
      </c>
    </row>
    <row r="8" spans="1:18" ht="15" customHeight="1" x14ac:dyDescent="0.35">
      <c r="A8" s="7">
        <v>5</v>
      </c>
      <c r="B8" s="47" t="s">
        <v>258</v>
      </c>
      <c r="C8" s="48">
        <v>205</v>
      </c>
      <c r="D8" s="48">
        <v>195</v>
      </c>
      <c r="E8" s="48">
        <v>275</v>
      </c>
      <c r="F8" s="48">
        <v>145</v>
      </c>
      <c r="G8" s="48"/>
      <c r="H8" s="48"/>
      <c r="I8" s="49"/>
      <c r="J8" s="50">
        <f>IF(OR($E8="",$E8=0),"",CEILING($E8*'Set % Engine'!$C$16,5))</f>
        <v>220</v>
      </c>
      <c r="K8" s="50">
        <f>IF(OR($C8="",$C8=0),"",CEILING($C8*'Set % Engine'!$C$17,5))</f>
        <v>165</v>
      </c>
      <c r="L8" s="50">
        <f>IF(OR($D8="",$D8=0),"",CEILING($D8*'Set % Engine'!$C$18,5))</f>
        <v>160</v>
      </c>
      <c r="M8" s="50">
        <f>IF(OR($F8="",$F8=0),"",CEILING($F8*'Set % Engine'!$C$19,5))</f>
        <v>120</v>
      </c>
      <c r="N8" s="50">
        <f>IF(OR($D8="",$D8=0),"",CEILING($D8*'Set % Engine'!$C$20,5))</f>
        <v>160</v>
      </c>
      <c r="O8" s="50">
        <f>IF(OR($D8="",$D8=0),"",CEILING($D8*'Set % Engine'!$C$21,5))</f>
        <v>160</v>
      </c>
      <c r="P8" s="50">
        <f>IF(OR($L8="",$L8=0),"",CEILING($L8*'Set % Engine'!$C$22,5))</f>
        <v>130</v>
      </c>
      <c r="Q8" s="50">
        <f>IF(OR($F8="",$F8=0),"",CEILING($F8*'Set % Engine'!$C$23,5))</f>
        <v>170</v>
      </c>
      <c r="R8" s="50" t="str">
        <f>IF(OR($G8="",$G8=0),"",CEILING($G8*'Set % Engine'!$C$24,5))</f>
        <v/>
      </c>
    </row>
    <row r="9" spans="1:18" ht="15" customHeight="1" x14ac:dyDescent="0.35">
      <c r="A9" s="7">
        <v>6</v>
      </c>
      <c r="B9" s="47" t="s">
        <v>259</v>
      </c>
      <c r="C9" s="48">
        <v>325</v>
      </c>
      <c r="D9" s="48">
        <v>315</v>
      </c>
      <c r="E9" s="48">
        <v>500</v>
      </c>
      <c r="F9" s="48">
        <v>205</v>
      </c>
      <c r="G9" s="48">
        <v>160</v>
      </c>
      <c r="H9" s="48">
        <v>295</v>
      </c>
      <c r="I9" s="49"/>
      <c r="J9" s="50">
        <f>IF(OR($E9="",$E9=0),"",CEILING($E9*'Set % Engine'!$C$16,5))</f>
        <v>400</v>
      </c>
      <c r="K9" s="50">
        <f>IF(OR($C9="",$C9=0),"",CEILING($C9*'Set % Engine'!$C$17,5))</f>
        <v>260</v>
      </c>
      <c r="L9" s="50">
        <f>IF(OR($D9="",$D9=0),"",CEILING($D9*'Set % Engine'!$C$18,5))</f>
        <v>255</v>
      </c>
      <c r="M9" s="50">
        <f>IF(OR($F9="",$F9=0),"",CEILING($F9*'Set % Engine'!$C$19,5))</f>
        <v>165</v>
      </c>
      <c r="N9" s="50">
        <f>IF(OR($D9="",$D9=0),"",CEILING($D9*'Set % Engine'!$C$20,5))</f>
        <v>255</v>
      </c>
      <c r="O9" s="50">
        <f>IF(OR($D9="",$D9=0),"",CEILING($D9*'Set % Engine'!$C$21,5))</f>
        <v>255</v>
      </c>
      <c r="P9" s="50">
        <f>IF(OR($L9="",$L9=0),"",CEILING($L9*'Set % Engine'!$C$22,5))</f>
        <v>205</v>
      </c>
      <c r="Q9" s="50">
        <f>IF(OR($F9="",$F9=0),"",CEILING($F9*'Set % Engine'!$C$23,5))</f>
        <v>240</v>
      </c>
      <c r="R9" s="50">
        <f>IF(OR($G9="",$G9=0),"",CEILING($G9*'Set % Engine'!$C$24,5))</f>
        <v>185</v>
      </c>
    </row>
    <row r="10" spans="1:18" ht="15" customHeight="1" x14ac:dyDescent="0.35">
      <c r="A10" s="7">
        <v>7</v>
      </c>
      <c r="B10" s="47" t="s">
        <v>260</v>
      </c>
      <c r="C10" s="48"/>
      <c r="D10" s="48"/>
      <c r="E10" s="48"/>
      <c r="F10" s="48"/>
      <c r="G10" s="48"/>
      <c r="H10" s="48"/>
      <c r="I10" s="49"/>
      <c r="J10" s="50" t="str">
        <f>IF(OR($E10="",$E10=0),"",CEILING($E10*'Set % Engine'!$C$16,5))</f>
        <v/>
      </c>
      <c r="K10" s="50" t="str">
        <f>IF(OR($C10="",$C10=0),"",CEILING($C10*'Set % Engine'!$C$17,5))</f>
        <v/>
      </c>
      <c r="L10" s="50" t="str">
        <f>IF(OR($D10="",$D10=0),"",CEILING($D10*'Set % Engine'!$C$18,5))</f>
        <v/>
      </c>
      <c r="M10" s="50" t="str">
        <f>IF(OR($F10="",$F10=0),"",CEILING($F10*'Set % Engine'!$C$19,5))</f>
        <v/>
      </c>
      <c r="N10" s="50" t="str">
        <f>IF(OR($D10="",$D10=0),"",CEILING($D10*'Set % Engine'!$C$20,5))</f>
        <v/>
      </c>
      <c r="O10" s="50" t="str">
        <f>IF(OR($D10="",$D10=0),"",CEILING($D10*'Set % Engine'!$C$21,5))</f>
        <v/>
      </c>
      <c r="P10" s="50" t="str">
        <f>IF(OR($L10="",$L10=0),"",CEILING($L10*'Set % Engine'!$C$22,5))</f>
        <v/>
      </c>
      <c r="Q10" s="50" t="str">
        <f>IF(OR($F10="",$F10=0),"",CEILING($F10*'Set % Engine'!$C$23,5))</f>
        <v/>
      </c>
      <c r="R10" s="50" t="str">
        <f>IF(OR($G10="",$G10=0),"",CEILING($G10*'Set % Engine'!$C$24,5))</f>
        <v/>
      </c>
    </row>
    <row r="11" spans="1:18" ht="15" customHeight="1" x14ac:dyDescent="0.35">
      <c r="A11" s="7">
        <v>8</v>
      </c>
      <c r="B11" s="47" t="s">
        <v>261</v>
      </c>
      <c r="C11" s="48"/>
      <c r="D11" s="48"/>
      <c r="E11" s="48"/>
      <c r="F11" s="48"/>
      <c r="G11" s="48"/>
      <c r="H11" s="48"/>
      <c r="I11" s="49"/>
      <c r="J11" s="50" t="str">
        <f>IF(OR($E11="",$E11=0),"",CEILING($E11*'Set % Engine'!$C$16,5))</f>
        <v/>
      </c>
      <c r="K11" s="50" t="str">
        <f>IF(OR($C11="",$C11=0),"",CEILING($C11*'Set % Engine'!$C$17,5))</f>
        <v/>
      </c>
      <c r="L11" s="50" t="str">
        <f>IF(OR($D11="",$D11=0),"",CEILING($D11*'Set % Engine'!$C$18,5))</f>
        <v/>
      </c>
      <c r="M11" s="50" t="str">
        <f>IF(OR($F11="",$F11=0),"",CEILING($F11*'Set % Engine'!$C$19,5))</f>
        <v/>
      </c>
      <c r="N11" s="50" t="str">
        <f>IF(OR($D11="",$D11=0),"",CEILING($D11*'Set % Engine'!$C$20,5))</f>
        <v/>
      </c>
      <c r="O11" s="50" t="str">
        <f>IF(OR($D11="",$D11=0),"",CEILING($D11*'Set % Engine'!$C$21,5))</f>
        <v/>
      </c>
      <c r="P11" s="50" t="str">
        <f>IF(OR($L11="",$L11=0),"",CEILING($L11*'Set % Engine'!$C$22,5))</f>
        <v/>
      </c>
      <c r="Q11" s="50" t="str">
        <f>IF(OR($F11="",$F11=0),"",CEILING($F11*'Set % Engine'!$C$23,5))</f>
        <v/>
      </c>
      <c r="R11" s="50" t="str">
        <f>IF(OR($G11="",$G11=0),"",CEILING($G11*'Set % Engine'!$C$24,5))</f>
        <v/>
      </c>
    </row>
    <row r="12" spans="1:18" ht="15" customHeight="1" x14ac:dyDescent="0.35">
      <c r="A12" s="7">
        <v>9</v>
      </c>
      <c r="B12" s="47" t="s">
        <v>262</v>
      </c>
      <c r="C12" s="48"/>
      <c r="D12" s="48"/>
      <c r="E12" s="48"/>
      <c r="F12" s="48"/>
      <c r="G12" s="48"/>
      <c r="H12" s="48"/>
      <c r="I12" s="49"/>
      <c r="J12" s="50" t="str">
        <f>IF(OR($E12="",$E12=0),"",CEILING($E12*'Set % Engine'!$C$16,5))</f>
        <v/>
      </c>
      <c r="K12" s="50" t="str">
        <f>IF(OR($C12="",$C12=0),"",CEILING($C12*'Set % Engine'!$C$17,5))</f>
        <v/>
      </c>
      <c r="L12" s="50" t="str">
        <f>IF(OR($D12="",$D12=0),"",CEILING($D12*'Set % Engine'!$C$18,5))</f>
        <v/>
      </c>
      <c r="M12" s="50" t="str">
        <f>IF(OR($F12="",$F12=0),"",CEILING($F12*'Set % Engine'!$C$19,5))</f>
        <v/>
      </c>
      <c r="N12" s="50" t="str">
        <f>IF(OR($D12="",$D12=0),"",CEILING($D12*'Set % Engine'!$C$20,5))</f>
        <v/>
      </c>
      <c r="O12" s="50" t="str">
        <f>IF(OR($D12="",$D12=0),"",CEILING($D12*'Set % Engine'!$C$21,5))</f>
        <v/>
      </c>
      <c r="P12" s="50" t="str">
        <f>IF(OR($L12="",$L12=0),"",CEILING($L12*'Set % Engine'!$C$22,5))</f>
        <v/>
      </c>
      <c r="Q12" s="50" t="str">
        <f>IF(OR($F12="",$F12=0),"",CEILING($F12*'Set % Engine'!$C$23,5))</f>
        <v/>
      </c>
      <c r="R12" s="50" t="str">
        <f>IF(OR($G12="",$G12=0),"",CEILING($G12*'Set % Engine'!$C$24,5))</f>
        <v/>
      </c>
    </row>
    <row r="13" spans="1:18" ht="15" customHeight="1" x14ac:dyDescent="0.35">
      <c r="A13" s="7">
        <v>10</v>
      </c>
      <c r="B13" s="47" t="s">
        <v>263</v>
      </c>
      <c r="C13" s="48"/>
      <c r="D13" s="48"/>
      <c r="E13" s="48"/>
      <c r="F13" s="48"/>
      <c r="G13" s="48"/>
      <c r="H13" s="48"/>
      <c r="I13" s="49"/>
      <c r="J13" s="50" t="str">
        <f>IF(OR($E13="",$E13=0),"",CEILING($E13*'Set % Engine'!$C$16,5))</f>
        <v/>
      </c>
      <c r="K13" s="50" t="str">
        <f>IF(OR($C13="",$C13=0),"",CEILING($C13*'Set % Engine'!$C$17,5))</f>
        <v/>
      </c>
      <c r="L13" s="50" t="str">
        <f>IF(OR($D13="",$D13=0),"",CEILING($D13*'Set % Engine'!$C$18,5))</f>
        <v/>
      </c>
      <c r="M13" s="50" t="str">
        <f>IF(OR($F13="",$F13=0),"",CEILING($F13*'Set % Engine'!$C$19,5))</f>
        <v/>
      </c>
      <c r="N13" s="50" t="str">
        <f>IF(OR($D13="",$D13=0),"",CEILING($D13*'Set % Engine'!$C$20,5))</f>
        <v/>
      </c>
      <c r="O13" s="50" t="str">
        <f>IF(OR($D13="",$D13=0),"",CEILING($D13*'Set % Engine'!$C$21,5))</f>
        <v/>
      </c>
      <c r="P13" s="50" t="str">
        <f>IF(OR($L13="",$L13=0),"",CEILING($L13*'Set % Engine'!$C$22,5))</f>
        <v/>
      </c>
      <c r="Q13" s="50" t="str">
        <f>IF(OR($F13="",$F13=0),"",CEILING($F13*'Set % Engine'!$C$23,5))</f>
        <v/>
      </c>
      <c r="R13" s="50" t="str">
        <f>IF(OR($G13="",$G13=0),"",CEILING($G13*'Set % Engine'!$C$24,5))</f>
        <v/>
      </c>
    </row>
    <row r="14" spans="1:18" ht="15" customHeight="1" x14ac:dyDescent="0.35">
      <c r="A14" s="7">
        <v>11</v>
      </c>
      <c r="B14" s="47" t="s">
        <v>264</v>
      </c>
      <c r="C14" s="48"/>
      <c r="D14" s="48"/>
      <c r="E14" s="48"/>
      <c r="F14" s="48"/>
      <c r="G14" s="48"/>
      <c r="H14" s="48"/>
      <c r="I14" s="49"/>
      <c r="J14" s="50" t="str">
        <f>IF(OR($E14="",$E14=0),"",CEILING($E14*'Set % Engine'!$C$16,5))</f>
        <v/>
      </c>
      <c r="K14" s="50" t="str">
        <f>IF(OR($C14="",$C14=0),"",CEILING($C14*'Set % Engine'!$C$17,5))</f>
        <v/>
      </c>
      <c r="L14" s="50" t="str">
        <f>IF(OR($D14="",$D14=0),"",CEILING($D14*'Set % Engine'!$C$18,5))</f>
        <v/>
      </c>
      <c r="M14" s="50" t="str">
        <f>IF(OR($F14="",$F14=0),"",CEILING($F14*'Set % Engine'!$C$19,5))</f>
        <v/>
      </c>
      <c r="N14" s="50" t="str">
        <f>IF(OR($D14="",$D14=0),"",CEILING($D14*'Set % Engine'!$C$20,5))</f>
        <v/>
      </c>
      <c r="O14" s="50" t="str">
        <f>IF(OR($D14="",$D14=0),"",CEILING($D14*'Set % Engine'!$C$21,5))</f>
        <v/>
      </c>
      <c r="P14" s="50" t="str">
        <f>IF(OR($L14="",$L14=0),"",CEILING($L14*'Set % Engine'!$C$22,5))</f>
        <v/>
      </c>
      <c r="Q14" s="50" t="str">
        <f>IF(OR($F14="",$F14=0),"",CEILING($F14*'Set % Engine'!$C$23,5))</f>
        <v/>
      </c>
      <c r="R14" s="50" t="str">
        <f>IF(OR($G14="",$G14=0),"",CEILING($G14*'Set % Engine'!$C$24,5))</f>
        <v/>
      </c>
    </row>
    <row r="15" spans="1:18" ht="15" customHeight="1" x14ac:dyDescent="0.35">
      <c r="A15" s="7">
        <v>12</v>
      </c>
      <c r="B15" s="47" t="s">
        <v>265</v>
      </c>
      <c r="C15" s="48"/>
      <c r="D15" s="48"/>
      <c r="E15" s="48"/>
      <c r="F15" s="48"/>
      <c r="G15" s="48"/>
      <c r="H15" s="48"/>
      <c r="I15" s="49"/>
      <c r="J15" s="50" t="str">
        <f>IF(OR($E15="",$E15=0),"",CEILING($E15*'Set % Engine'!$C$16,5))</f>
        <v/>
      </c>
      <c r="K15" s="50" t="str">
        <f>IF(OR($C15="",$C15=0),"",CEILING($C15*'Set % Engine'!$C$17,5))</f>
        <v/>
      </c>
      <c r="L15" s="50" t="str">
        <f>IF(OR($D15="",$D15=0),"",CEILING($D15*'Set % Engine'!$C$18,5))</f>
        <v/>
      </c>
      <c r="M15" s="50" t="str">
        <f>IF(OR($F15="",$F15=0),"",CEILING($F15*'Set % Engine'!$C$19,5))</f>
        <v/>
      </c>
      <c r="N15" s="50" t="str">
        <f>IF(OR($D15="",$D15=0),"",CEILING($D15*'Set % Engine'!$C$20,5))</f>
        <v/>
      </c>
      <c r="O15" s="50" t="str">
        <f>IF(OR($D15="",$D15=0),"",CEILING($D15*'Set % Engine'!$C$21,5))</f>
        <v/>
      </c>
      <c r="P15" s="50" t="str">
        <f>IF(OR($L15="",$L15=0),"",CEILING($L15*'Set % Engine'!$C$22,5))</f>
        <v/>
      </c>
      <c r="Q15" s="50" t="str">
        <f>IF(OR($F15="",$F15=0),"",CEILING($F15*'Set % Engine'!$C$23,5))</f>
        <v/>
      </c>
      <c r="R15" s="50" t="str">
        <f>IF(OR($G15="",$G15=0),"",CEILING($G15*'Set % Engine'!$C$24,5))</f>
        <v/>
      </c>
    </row>
    <row r="16" spans="1:18" ht="15" customHeight="1" x14ac:dyDescent="0.35">
      <c r="A16" s="7">
        <v>13</v>
      </c>
      <c r="B16" s="47" t="s">
        <v>266</v>
      </c>
      <c r="C16" s="48"/>
      <c r="D16" s="48"/>
      <c r="E16" s="48"/>
      <c r="F16" s="48"/>
      <c r="G16" s="48"/>
      <c r="H16" s="48"/>
      <c r="I16" s="49"/>
      <c r="J16" s="50" t="str">
        <f>IF(OR($E16="",$E16=0),"",CEILING($E16*'Set % Engine'!$C$16,5))</f>
        <v/>
      </c>
      <c r="K16" s="50" t="str">
        <f>IF(OR($C16="",$C16=0),"",CEILING($C16*'Set % Engine'!$C$17,5))</f>
        <v/>
      </c>
      <c r="L16" s="50" t="str">
        <f>IF(OR($D16="",$D16=0),"",CEILING($D16*'Set % Engine'!$C$18,5))</f>
        <v/>
      </c>
      <c r="M16" s="50" t="str">
        <f>IF(OR($F16="",$F16=0),"",CEILING($F16*'Set % Engine'!$C$19,5))</f>
        <v/>
      </c>
      <c r="N16" s="50" t="str">
        <f>IF(OR($D16="",$D16=0),"",CEILING($D16*'Set % Engine'!$C$20,5))</f>
        <v/>
      </c>
      <c r="O16" s="50" t="str">
        <f>IF(OR($D16="",$D16=0),"",CEILING($D16*'Set % Engine'!$C$21,5))</f>
        <v/>
      </c>
      <c r="P16" s="50" t="str">
        <f>IF(OR($L16="",$L16=0),"",CEILING($L16*'Set % Engine'!$C$22,5))</f>
        <v/>
      </c>
      <c r="Q16" s="50" t="str">
        <f>IF(OR($F16="",$F16=0),"",CEILING($F16*'Set % Engine'!$C$23,5))</f>
        <v/>
      </c>
      <c r="R16" s="50" t="str">
        <f>IF(OR($G16="",$G16=0),"",CEILING($G16*'Set % Engine'!$C$24,5))</f>
        <v/>
      </c>
    </row>
    <row r="17" spans="1:18" ht="15" customHeight="1" x14ac:dyDescent="0.35">
      <c r="A17" s="7">
        <v>14</v>
      </c>
      <c r="B17" s="47" t="s">
        <v>267</v>
      </c>
      <c r="C17" s="48"/>
      <c r="D17" s="48"/>
      <c r="E17" s="48"/>
      <c r="F17" s="48"/>
      <c r="G17" s="48"/>
      <c r="H17" s="48"/>
      <c r="I17" s="49"/>
      <c r="J17" s="50" t="str">
        <f>IF(OR($E17="",$E17=0),"",CEILING($E17*'Set % Engine'!$C$16,5))</f>
        <v/>
      </c>
      <c r="K17" s="50" t="str">
        <f>IF(OR($C17="",$C17=0),"",CEILING($C17*'Set % Engine'!$C$17,5))</f>
        <v/>
      </c>
      <c r="L17" s="50" t="str">
        <f>IF(OR($D17="",$D17=0),"",CEILING($D17*'Set % Engine'!$C$18,5))</f>
        <v/>
      </c>
      <c r="M17" s="50" t="str">
        <f>IF(OR($F17="",$F17=0),"",CEILING($F17*'Set % Engine'!$C$19,5))</f>
        <v/>
      </c>
      <c r="N17" s="50" t="str">
        <f>IF(OR($D17="",$D17=0),"",CEILING($D17*'Set % Engine'!$C$20,5))</f>
        <v/>
      </c>
      <c r="O17" s="50" t="str">
        <f>IF(OR($D17="",$D17=0),"",CEILING($D17*'Set % Engine'!$C$21,5))</f>
        <v/>
      </c>
      <c r="P17" s="50" t="str">
        <f>IF(OR($L17="",$L17=0),"",CEILING($L17*'Set % Engine'!$C$22,5))</f>
        <v/>
      </c>
      <c r="Q17" s="50" t="str">
        <f>IF(OR($F17="",$F17=0),"",CEILING($F17*'Set % Engine'!$C$23,5))</f>
        <v/>
      </c>
      <c r="R17" s="50" t="str">
        <f>IF(OR($G17="",$G17=0),"",CEILING($G17*'Set % Engine'!$C$24,5))</f>
        <v/>
      </c>
    </row>
    <row r="18" spans="1:18" ht="15" customHeight="1" x14ac:dyDescent="0.35">
      <c r="A18" s="7">
        <v>15</v>
      </c>
      <c r="B18" s="47" t="s">
        <v>268</v>
      </c>
      <c r="C18" s="48"/>
      <c r="D18" s="48"/>
      <c r="E18" s="48"/>
      <c r="F18" s="48"/>
      <c r="G18" s="48"/>
      <c r="H18" s="48"/>
      <c r="I18" s="49"/>
      <c r="J18" s="50" t="str">
        <f>IF(OR($E18="",$E18=0),"",CEILING($E18*'Set % Engine'!$C$16,5))</f>
        <v/>
      </c>
      <c r="K18" s="50" t="str">
        <f>IF(OR($C18="",$C18=0),"",CEILING($C18*'Set % Engine'!$C$17,5))</f>
        <v/>
      </c>
      <c r="L18" s="50" t="str">
        <f>IF(OR($D18="",$D18=0),"",CEILING($D18*'Set % Engine'!$C$18,5))</f>
        <v/>
      </c>
      <c r="M18" s="50" t="str">
        <f>IF(OR($F18="",$F18=0),"",CEILING($F18*'Set % Engine'!$C$19,5))</f>
        <v/>
      </c>
      <c r="N18" s="50" t="str">
        <f>IF(OR($D18="",$D18=0),"",CEILING($D18*'Set % Engine'!$C$20,5))</f>
        <v/>
      </c>
      <c r="O18" s="50" t="str">
        <f>IF(OR($D18="",$D18=0),"",CEILING($D18*'Set % Engine'!$C$21,5))</f>
        <v/>
      </c>
      <c r="P18" s="50" t="str">
        <f>IF(OR($L18="",$L18=0),"",CEILING($L18*'Set % Engine'!$C$22,5))</f>
        <v/>
      </c>
      <c r="Q18" s="50" t="str">
        <f>IF(OR($F18="",$F18=0),"",CEILING($F18*'Set % Engine'!$C$23,5))</f>
        <v/>
      </c>
      <c r="R18" s="50" t="str">
        <f>IF(OR($G18="",$G18=0),"",CEILING($G18*'Set % Engine'!$C$24,5))</f>
        <v/>
      </c>
    </row>
    <row r="19" spans="1:18" ht="15" customHeight="1" x14ac:dyDescent="0.35">
      <c r="A19" s="7">
        <v>16</v>
      </c>
      <c r="B19" s="47" t="s">
        <v>269</v>
      </c>
      <c r="C19" s="48"/>
      <c r="D19" s="48"/>
      <c r="E19" s="48"/>
      <c r="F19" s="48"/>
      <c r="G19" s="48"/>
      <c r="H19" s="48"/>
      <c r="I19" s="49"/>
      <c r="J19" s="50" t="str">
        <f>IF(OR($E19="",$E19=0),"",CEILING($E19*'Set % Engine'!$C$16,5))</f>
        <v/>
      </c>
      <c r="K19" s="50" t="str">
        <f>IF(OR($C19="",$C19=0),"",CEILING($C19*'Set % Engine'!$C$17,5))</f>
        <v/>
      </c>
      <c r="L19" s="50" t="str">
        <f>IF(OR($D19="",$D19=0),"",CEILING($D19*'Set % Engine'!$C$18,5))</f>
        <v/>
      </c>
      <c r="M19" s="50" t="str">
        <f>IF(OR($F19="",$F19=0),"",CEILING($F19*'Set % Engine'!$C$19,5))</f>
        <v/>
      </c>
      <c r="N19" s="50" t="str">
        <f>IF(OR($D19="",$D19=0),"",CEILING($D19*'Set % Engine'!$C$20,5))</f>
        <v/>
      </c>
      <c r="O19" s="50" t="str">
        <f>IF(OR($D19="",$D19=0),"",CEILING($D19*'Set % Engine'!$C$21,5))</f>
        <v/>
      </c>
      <c r="P19" s="50" t="str">
        <f>IF(OR($L19="",$L19=0),"",CEILING($L19*'Set % Engine'!$C$22,5))</f>
        <v/>
      </c>
      <c r="Q19" s="50" t="str">
        <f>IF(OR($F19="",$F19=0),"",CEILING($F19*'Set % Engine'!$C$23,5))</f>
        <v/>
      </c>
      <c r="R19" s="50" t="str">
        <f>IF(OR($G19="",$G19=0),"",CEILING($G19*'Set % Engine'!$C$24,5))</f>
        <v/>
      </c>
    </row>
    <row r="20" spans="1:18" ht="15" customHeight="1" x14ac:dyDescent="0.35">
      <c r="A20" s="7">
        <v>17</v>
      </c>
      <c r="B20" s="47" t="s">
        <v>270</v>
      </c>
      <c r="C20" s="48"/>
      <c r="D20" s="48"/>
      <c r="E20" s="48"/>
      <c r="F20" s="48"/>
      <c r="G20" s="48"/>
      <c r="H20" s="48"/>
      <c r="I20" s="49"/>
      <c r="J20" s="50" t="str">
        <f>IF(OR($E20="",$E20=0),"",CEILING($E20*'Set % Engine'!$C$16,5))</f>
        <v/>
      </c>
      <c r="K20" s="50" t="str">
        <f>IF(OR($C20="",$C20=0),"",CEILING($C20*'Set % Engine'!$C$17,5))</f>
        <v/>
      </c>
      <c r="L20" s="50" t="str">
        <f>IF(OR($D20="",$D20=0),"",CEILING($D20*'Set % Engine'!$C$18,5))</f>
        <v/>
      </c>
      <c r="M20" s="50" t="str">
        <f>IF(OR($F20="",$F20=0),"",CEILING($F20*'Set % Engine'!$C$19,5))</f>
        <v/>
      </c>
      <c r="N20" s="50" t="str">
        <f>IF(OR($D20="",$D20=0),"",CEILING($D20*'Set % Engine'!$C$20,5))</f>
        <v/>
      </c>
      <c r="O20" s="50" t="str">
        <f>IF(OR($D20="",$D20=0),"",CEILING($D20*'Set % Engine'!$C$21,5))</f>
        <v/>
      </c>
      <c r="P20" s="50" t="str">
        <f>IF(OR($L20="",$L20=0),"",CEILING($L20*'Set % Engine'!$C$22,5))</f>
        <v/>
      </c>
      <c r="Q20" s="50" t="str">
        <f>IF(OR($F20="",$F20=0),"",CEILING($F20*'Set % Engine'!$C$23,5))</f>
        <v/>
      </c>
      <c r="R20" s="50" t="str">
        <f>IF(OR($G20="",$G20=0),"",CEILING($G20*'Set % Engine'!$C$24,5))</f>
        <v/>
      </c>
    </row>
    <row r="21" spans="1:18" ht="15" customHeight="1" x14ac:dyDescent="0.35">
      <c r="A21" s="7">
        <v>18</v>
      </c>
      <c r="B21" s="47" t="s">
        <v>271</v>
      </c>
      <c r="C21" s="48"/>
      <c r="D21" s="48"/>
      <c r="E21" s="48"/>
      <c r="F21" s="48"/>
      <c r="G21" s="48"/>
      <c r="H21" s="48"/>
      <c r="I21" s="49"/>
      <c r="J21" s="50" t="str">
        <f>IF(OR($E21="",$E21=0),"",CEILING($E21*'Set % Engine'!$C$16,5))</f>
        <v/>
      </c>
      <c r="K21" s="50" t="str">
        <f>IF(OR($C21="",$C21=0),"",CEILING($C21*'Set % Engine'!$C$17,5))</f>
        <v/>
      </c>
      <c r="L21" s="50" t="str">
        <f>IF(OR($D21="",$D21=0),"",CEILING($D21*'Set % Engine'!$C$18,5))</f>
        <v/>
      </c>
      <c r="M21" s="50" t="str">
        <f>IF(OR($F21="",$F21=0),"",CEILING($F21*'Set % Engine'!$C$19,5))</f>
        <v/>
      </c>
      <c r="N21" s="50" t="str">
        <f>IF(OR($D21="",$D21=0),"",CEILING($D21*'Set % Engine'!$C$20,5))</f>
        <v/>
      </c>
      <c r="O21" s="50" t="str">
        <f>IF(OR($D21="",$D21=0),"",CEILING($D21*'Set % Engine'!$C$21,5))</f>
        <v/>
      </c>
      <c r="P21" s="50" t="str">
        <f>IF(OR($L21="",$L21=0),"",CEILING($L21*'Set % Engine'!$C$22,5))</f>
        <v/>
      </c>
      <c r="Q21" s="50" t="str">
        <f>IF(OR($F21="",$F21=0),"",CEILING($F21*'Set % Engine'!$C$23,5))</f>
        <v/>
      </c>
      <c r="R21" s="50" t="str">
        <f>IF(OR($G21="",$G21=0),"",CEILING($G21*'Set % Engine'!$C$24,5))</f>
        <v/>
      </c>
    </row>
    <row r="22" spans="1:18" ht="15" customHeight="1" x14ac:dyDescent="0.35">
      <c r="A22" s="7">
        <v>19</v>
      </c>
      <c r="B22" s="47" t="s">
        <v>272</v>
      </c>
      <c r="C22" s="48"/>
      <c r="D22" s="48"/>
      <c r="E22" s="48"/>
      <c r="F22" s="48"/>
      <c r="G22" s="48"/>
      <c r="H22" s="48"/>
      <c r="I22" s="49"/>
      <c r="J22" s="50" t="str">
        <f>IF(OR($E22="",$E22=0),"",CEILING($E22*'Set % Engine'!$C$16,5))</f>
        <v/>
      </c>
      <c r="K22" s="50" t="str">
        <f>IF(OR($C22="",$C22=0),"",CEILING($C22*'Set % Engine'!$C$17,5))</f>
        <v/>
      </c>
      <c r="L22" s="50" t="str">
        <f>IF(OR($D22="",$D22=0),"",CEILING($D22*'Set % Engine'!$C$18,5))</f>
        <v/>
      </c>
      <c r="M22" s="50" t="str">
        <f>IF(OR($F22="",$F22=0),"",CEILING($F22*'Set % Engine'!$C$19,5))</f>
        <v/>
      </c>
      <c r="N22" s="50" t="str">
        <f>IF(OR($D22="",$D22=0),"",CEILING($D22*'Set % Engine'!$C$20,5))</f>
        <v/>
      </c>
      <c r="O22" s="50" t="str">
        <f>IF(OR($D22="",$D22=0),"",CEILING($D22*'Set % Engine'!$C$21,5))</f>
        <v/>
      </c>
      <c r="P22" s="50" t="str">
        <f>IF(OR($L22="",$L22=0),"",CEILING($L22*'Set % Engine'!$C$22,5))</f>
        <v/>
      </c>
      <c r="Q22" s="50" t="str">
        <f>IF(OR($F22="",$F22=0),"",CEILING($F22*'Set % Engine'!$C$23,5))</f>
        <v/>
      </c>
      <c r="R22" s="50" t="str">
        <f>IF(OR($G22="",$G22=0),"",CEILING($G22*'Set % Engine'!$C$24,5))</f>
        <v/>
      </c>
    </row>
    <row r="23" spans="1:18" ht="15" customHeight="1" x14ac:dyDescent="0.35">
      <c r="A23" s="7">
        <v>20</v>
      </c>
      <c r="B23" s="47" t="s">
        <v>273</v>
      </c>
      <c r="C23" s="48"/>
      <c r="D23" s="48"/>
      <c r="E23" s="48"/>
      <c r="F23" s="48"/>
      <c r="G23" s="48"/>
      <c r="H23" s="48"/>
      <c r="I23" s="49"/>
      <c r="J23" s="50" t="str">
        <f>IF(OR($E23="",$E23=0),"",CEILING($E23*'Set % Engine'!$C$16,5))</f>
        <v/>
      </c>
      <c r="K23" s="50" t="str">
        <f>IF(OR($C23="",$C23=0),"",CEILING($C23*'Set % Engine'!$C$17,5))</f>
        <v/>
      </c>
      <c r="L23" s="50" t="str">
        <f>IF(OR($D23="",$D23=0),"",CEILING($D23*'Set % Engine'!$C$18,5))</f>
        <v/>
      </c>
      <c r="M23" s="50" t="str">
        <f>IF(OR($F23="",$F23=0),"",CEILING($F23*'Set % Engine'!$C$19,5))</f>
        <v/>
      </c>
      <c r="N23" s="50" t="str">
        <f>IF(OR($D23="",$D23=0),"",CEILING($D23*'Set % Engine'!$C$20,5))</f>
        <v/>
      </c>
      <c r="O23" s="50" t="str">
        <f>IF(OR($D23="",$D23=0),"",CEILING($D23*'Set % Engine'!$C$21,5))</f>
        <v/>
      </c>
      <c r="P23" s="50" t="str">
        <f>IF(OR($L23="",$L23=0),"",CEILING($L23*'Set % Engine'!$C$22,5))</f>
        <v/>
      </c>
      <c r="Q23" s="50" t="str">
        <f>IF(OR($F23="",$F23=0),"",CEILING($F23*'Set % Engine'!$C$23,5))</f>
        <v/>
      </c>
      <c r="R23" s="50" t="str">
        <f>IF(OR($G23="",$G23=0),"",CEILING($G23*'Set % Engine'!$C$24,5))</f>
        <v/>
      </c>
    </row>
    <row r="24" spans="1:18" ht="15" customHeight="1" x14ac:dyDescent="0.35">
      <c r="A24" s="7">
        <v>21</v>
      </c>
      <c r="B24" s="47" t="s">
        <v>274</v>
      </c>
      <c r="C24" s="48"/>
      <c r="D24" s="48"/>
      <c r="E24" s="48"/>
      <c r="F24" s="48"/>
      <c r="G24" s="48"/>
      <c r="H24" s="48"/>
      <c r="I24" s="49"/>
      <c r="J24" s="50" t="str">
        <f>IF(OR($E24="",$E24=0),"",CEILING($E24*'Set % Engine'!$C$16,5))</f>
        <v/>
      </c>
      <c r="K24" s="50" t="str">
        <f>IF(OR($C24="",$C24=0),"",CEILING($C24*'Set % Engine'!$C$17,5))</f>
        <v/>
      </c>
      <c r="L24" s="50" t="str">
        <f>IF(OR($D24="",$D24=0),"",CEILING($D24*'Set % Engine'!$C$18,5))</f>
        <v/>
      </c>
      <c r="M24" s="50" t="str">
        <f>IF(OR($F24="",$F24=0),"",CEILING($F24*'Set % Engine'!$C$19,5))</f>
        <v/>
      </c>
      <c r="N24" s="50" t="str">
        <f>IF(OR($D24="",$D24=0),"",CEILING($D24*'Set % Engine'!$C$20,5))</f>
        <v/>
      </c>
      <c r="O24" s="50" t="str">
        <f>IF(OR($D24="",$D24=0),"",CEILING($D24*'Set % Engine'!$C$21,5))</f>
        <v/>
      </c>
      <c r="P24" s="50" t="str">
        <f>IF(OR($L24="",$L24=0),"",CEILING($L24*'Set % Engine'!$C$22,5))</f>
        <v/>
      </c>
      <c r="Q24" s="50" t="str">
        <f>IF(OR($F24="",$F24=0),"",CEILING($F24*'Set % Engine'!$C$23,5))</f>
        <v/>
      </c>
      <c r="R24" s="50" t="str">
        <f>IF(OR($G24="",$G24=0),"",CEILING($G24*'Set % Engine'!$C$24,5))</f>
        <v/>
      </c>
    </row>
    <row r="25" spans="1:18" ht="15" customHeight="1" x14ac:dyDescent="0.35">
      <c r="A25" s="7">
        <v>22</v>
      </c>
      <c r="B25" s="47" t="s">
        <v>275</v>
      </c>
      <c r="C25" s="48"/>
      <c r="D25" s="48"/>
      <c r="E25" s="48"/>
      <c r="F25" s="48"/>
      <c r="G25" s="48"/>
      <c r="H25" s="48"/>
      <c r="I25" s="49"/>
      <c r="J25" s="50" t="str">
        <f>IF(OR($E25="",$E25=0),"",CEILING($E25*'Set % Engine'!$C$16,5))</f>
        <v/>
      </c>
      <c r="K25" s="50" t="str">
        <f>IF(OR($C25="",$C25=0),"",CEILING($C25*'Set % Engine'!$C$17,5))</f>
        <v/>
      </c>
      <c r="L25" s="50" t="str">
        <f>IF(OR($D25="",$D25=0),"",CEILING($D25*'Set % Engine'!$C$18,5))</f>
        <v/>
      </c>
      <c r="M25" s="50" t="str">
        <f>IF(OR($F25="",$F25=0),"",CEILING($F25*'Set % Engine'!$C$19,5))</f>
        <v/>
      </c>
      <c r="N25" s="50" t="str">
        <f>IF(OR($D25="",$D25=0),"",CEILING($D25*'Set % Engine'!$C$20,5))</f>
        <v/>
      </c>
      <c r="O25" s="50" t="str">
        <f>IF(OR($D25="",$D25=0),"",CEILING($D25*'Set % Engine'!$C$21,5))</f>
        <v/>
      </c>
      <c r="P25" s="50" t="str">
        <f>IF(OR($L25="",$L25=0),"",CEILING($L25*'Set % Engine'!$C$22,5))</f>
        <v/>
      </c>
      <c r="Q25" s="50" t="str">
        <f>IF(OR($F25="",$F25=0),"",CEILING($F25*'Set % Engine'!$C$23,5))</f>
        <v/>
      </c>
      <c r="R25" s="50" t="str">
        <f>IF(OR($G25="",$G25=0),"",CEILING($G25*'Set % Engine'!$C$24,5))</f>
        <v/>
      </c>
    </row>
    <row r="26" spans="1:18" ht="15" customHeight="1" x14ac:dyDescent="0.35">
      <c r="A26" s="7">
        <v>23</v>
      </c>
      <c r="B26" s="12"/>
      <c r="C26" s="16"/>
      <c r="D26" s="16"/>
      <c r="E26" s="16"/>
      <c r="F26" s="16"/>
      <c r="G26" s="16"/>
      <c r="H26" s="16"/>
      <c r="I26" s="16"/>
      <c r="J26" s="50" t="str">
        <f>IF(OR($E26="",$E26=0),"",CEILING($E26*'Set % Engine'!$C$16,5))</f>
        <v/>
      </c>
      <c r="K26" s="50" t="str">
        <f>IF(OR($C26="",$C26=0),"",CEILING($C26*'Set % Engine'!$C$17,5))</f>
        <v/>
      </c>
      <c r="L26" s="50" t="str">
        <f>IF(OR($D26="",$D26=0),"",CEILING($D26*'Set % Engine'!$C$18,5))</f>
        <v/>
      </c>
      <c r="M26" s="50" t="str">
        <f>IF(OR($F26="",$F26=0),"",CEILING($F26*'Set % Engine'!$C$19,5))</f>
        <v/>
      </c>
      <c r="N26" s="50" t="str">
        <f>IF(OR($D26="",$D26=0),"",CEILING($D26*'Set % Engine'!$C$20,5))</f>
        <v/>
      </c>
      <c r="O26" s="50" t="str">
        <f>IF(OR($D26="",$D26=0),"",CEILING($D26*'Set % Engine'!$C$21,5))</f>
        <v/>
      </c>
      <c r="P26" s="50" t="str">
        <f>IF(OR($L26="",$L26=0),"",CEILING($L26*'Set % Engine'!$C$22,5))</f>
        <v/>
      </c>
      <c r="Q26" s="50" t="str">
        <f>IF(OR($F26="",$F26=0),"",CEILING($F26*'Set % Engine'!$C$23,5))</f>
        <v/>
      </c>
      <c r="R26" s="50" t="str">
        <f>IF(OR($G26="",$G26=0),"",CEILING($G26*'Set % Engine'!$C$24,5))</f>
        <v/>
      </c>
    </row>
    <row r="27" spans="1:18" ht="15" customHeight="1" x14ac:dyDescent="0.35">
      <c r="A27" s="7">
        <v>24</v>
      </c>
      <c r="B27" s="12"/>
      <c r="C27" s="16"/>
      <c r="D27" s="16"/>
      <c r="E27" s="16"/>
      <c r="F27" s="16"/>
      <c r="G27" s="16"/>
      <c r="H27" s="16"/>
      <c r="I27" s="16"/>
      <c r="J27" s="50" t="str">
        <f>IF(OR($E27="",$E27=0),"",CEILING($E27*'Set % Engine'!$C$16,5))</f>
        <v/>
      </c>
      <c r="K27" s="50" t="str">
        <f>IF(OR($C27="",$C27=0),"",CEILING($C27*'Set % Engine'!$C$17,5))</f>
        <v/>
      </c>
      <c r="L27" s="50" t="str">
        <f>IF(OR($D27="",$D27=0),"",CEILING($D27*'Set % Engine'!$C$18,5))</f>
        <v/>
      </c>
      <c r="M27" s="50" t="str">
        <f>IF(OR($F27="",$F27=0),"",CEILING($F27*'Set % Engine'!$C$19,5))</f>
        <v/>
      </c>
      <c r="N27" s="50" t="str">
        <f>IF(OR($D27="",$D27=0),"",CEILING($D27*'Set % Engine'!$C$20,5))</f>
        <v/>
      </c>
      <c r="O27" s="50" t="str">
        <f>IF(OR($D27="",$D27=0),"",CEILING($D27*'Set % Engine'!$C$21,5))</f>
        <v/>
      </c>
      <c r="P27" s="50" t="str">
        <f>IF(OR($L27="",$L27=0),"",CEILING($L27*'Set % Engine'!$C$22,5))</f>
        <v/>
      </c>
      <c r="Q27" s="50" t="str">
        <f>IF(OR($F27="",$F27=0),"",CEILING($F27*'Set % Engine'!$C$23,5))</f>
        <v/>
      </c>
      <c r="R27" s="50" t="str">
        <f>IF(OR($G27="",$G27=0),"",CEILING($G27*'Set % Engine'!$C$24,5))</f>
        <v/>
      </c>
    </row>
    <row r="28" spans="1:18" ht="15" customHeight="1" x14ac:dyDescent="0.35">
      <c r="A28" s="7">
        <v>25</v>
      </c>
      <c r="B28" s="12"/>
      <c r="C28" s="16"/>
      <c r="D28" s="16"/>
      <c r="E28" s="16"/>
      <c r="F28" s="16"/>
      <c r="G28" s="16"/>
      <c r="H28" s="16"/>
      <c r="I28" s="16"/>
      <c r="J28" s="50" t="str">
        <f>IF(OR($E28="",$E28=0),"",CEILING($E28*'Set % Engine'!$C$16,5))</f>
        <v/>
      </c>
      <c r="K28" s="50" t="str">
        <f>IF(OR($C28="",$C28=0),"",CEILING($C28*'Set % Engine'!$C$17,5))</f>
        <v/>
      </c>
      <c r="L28" s="50" t="str">
        <f>IF(OR($D28="",$D28=0),"",CEILING($D28*'Set % Engine'!$C$18,5))</f>
        <v/>
      </c>
      <c r="M28" s="50" t="str">
        <f>IF(OR($F28="",$F28=0),"",CEILING($F28*'Set % Engine'!$C$19,5))</f>
        <v/>
      </c>
      <c r="N28" s="50" t="str">
        <f>IF(OR($D28="",$D28=0),"",CEILING($D28*'Set % Engine'!$C$20,5))</f>
        <v/>
      </c>
      <c r="O28" s="50" t="str">
        <f>IF(OR($D28="",$D28=0),"",CEILING($D28*'Set % Engine'!$C$21,5))</f>
        <v/>
      </c>
      <c r="P28" s="50" t="str">
        <f>IF(OR($L28="",$L28=0),"",CEILING($L28*'Set % Engine'!$C$22,5))</f>
        <v/>
      </c>
      <c r="Q28" s="50" t="str">
        <f>IF(OR($F28="",$F28=0),"",CEILING($F28*'Set % Engine'!$C$23,5))</f>
        <v/>
      </c>
      <c r="R28" s="50" t="str">
        <f>IF(OR($G28="",$G28=0),"",CEILING($G28*'Set % Engine'!$C$24,5))</f>
        <v/>
      </c>
    </row>
    <row r="29" spans="1:18" ht="15" customHeight="1" x14ac:dyDescent="0.35">
      <c r="A29" s="7">
        <v>26</v>
      </c>
      <c r="B29" s="12"/>
      <c r="C29" s="16"/>
      <c r="D29" s="16"/>
      <c r="E29" s="16"/>
      <c r="F29" s="16"/>
      <c r="G29" s="16"/>
      <c r="H29" s="16"/>
      <c r="I29" s="16"/>
      <c r="J29" s="50" t="str">
        <f>IF(OR($E29="",$E29=0),"",CEILING($E29*'Set % Engine'!$C$16,5))</f>
        <v/>
      </c>
      <c r="K29" s="50" t="str">
        <f>IF(OR($C29="",$C29=0),"",CEILING($C29*'Set % Engine'!$C$17,5))</f>
        <v/>
      </c>
      <c r="L29" s="50" t="str">
        <f>IF(OR($D29="",$D29=0),"",CEILING($D29*'Set % Engine'!$C$18,5))</f>
        <v/>
      </c>
      <c r="M29" s="50" t="str">
        <f>IF(OR($F29="",$F29=0),"",CEILING($F29*'Set % Engine'!$C$19,5))</f>
        <v/>
      </c>
      <c r="N29" s="50" t="str">
        <f>IF(OR($D29="",$D29=0),"",CEILING($D29*'Set % Engine'!$C$20,5))</f>
        <v/>
      </c>
      <c r="O29" s="50" t="str">
        <f>IF(OR($D29="",$D29=0),"",CEILING($D29*'Set % Engine'!$C$21,5))</f>
        <v/>
      </c>
      <c r="P29" s="50" t="str">
        <f>IF(OR($L29="",$L29=0),"",CEILING($L29*'Set % Engine'!$C$22,5))</f>
        <v/>
      </c>
      <c r="Q29" s="50" t="str">
        <f>IF(OR($F29="",$F29=0),"",CEILING($F29*'Set % Engine'!$C$23,5))</f>
        <v/>
      </c>
      <c r="R29" s="50" t="str">
        <f>IF(OR($G29="",$G29=0),"",CEILING($G29*'Set % Engine'!$C$24,5))</f>
        <v/>
      </c>
    </row>
    <row r="30" spans="1:18" ht="15" customHeight="1" x14ac:dyDescent="0.35">
      <c r="A30" s="7">
        <v>27</v>
      </c>
      <c r="B30" s="12"/>
      <c r="C30" s="16"/>
      <c r="D30" s="16"/>
      <c r="E30" s="16"/>
      <c r="F30" s="16"/>
      <c r="G30" s="16"/>
      <c r="H30" s="16"/>
      <c r="I30" s="16"/>
      <c r="J30" s="50" t="str">
        <f>IF(OR($E30="",$E30=0),"",CEILING($E30*'Set % Engine'!$C$16,5))</f>
        <v/>
      </c>
      <c r="K30" s="50" t="str">
        <f>IF(OR($C30="",$C30=0),"",CEILING($C30*'Set % Engine'!$C$17,5))</f>
        <v/>
      </c>
      <c r="L30" s="50" t="str">
        <f>IF(OR($D30="",$D30=0),"",CEILING($D30*'Set % Engine'!$C$18,5))</f>
        <v/>
      </c>
      <c r="M30" s="50" t="str">
        <f>IF(OR($F30="",$F30=0),"",CEILING($F30*'Set % Engine'!$C$19,5))</f>
        <v/>
      </c>
      <c r="N30" s="50" t="str">
        <f>IF(OR($D30="",$D30=0),"",CEILING($D30*'Set % Engine'!$C$20,5))</f>
        <v/>
      </c>
      <c r="O30" s="50" t="str">
        <f>IF(OR($D30="",$D30=0),"",CEILING($D30*'Set % Engine'!$C$21,5))</f>
        <v/>
      </c>
      <c r="P30" s="50" t="str">
        <f>IF(OR($L30="",$L30=0),"",CEILING($L30*'Set % Engine'!$C$22,5))</f>
        <v/>
      </c>
      <c r="Q30" s="50" t="str">
        <f>IF(OR($F30="",$F30=0),"",CEILING($F30*'Set % Engine'!$C$23,5))</f>
        <v/>
      </c>
      <c r="R30" s="50" t="str">
        <f>IF(OR($G30="",$G30=0),"",CEILING($G30*'Set % Engine'!$C$24,5))</f>
        <v/>
      </c>
    </row>
    <row r="31" spans="1:18" ht="15" customHeight="1" x14ac:dyDescent="0.35">
      <c r="A31" s="7">
        <v>28</v>
      </c>
      <c r="B31" s="12"/>
      <c r="C31" s="16"/>
      <c r="D31" s="16"/>
      <c r="E31" s="16"/>
      <c r="F31" s="16"/>
      <c r="G31" s="16"/>
      <c r="H31" s="16"/>
      <c r="I31" s="16"/>
      <c r="J31" s="50" t="str">
        <f>IF(OR($E31="",$E31=0),"",CEILING($E31*'Set % Engine'!$C$16,5))</f>
        <v/>
      </c>
      <c r="K31" s="50" t="str">
        <f>IF(OR($C31="",$C31=0),"",CEILING($C31*'Set % Engine'!$C$17,5))</f>
        <v/>
      </c>
      <c r="L31" s="50" t="str">
        <f>IF(OR($D31="",$D31=0),"",CEILING($D31*'Set % Engine'!$C$18,5))</f>
        <v/>
      </c>
      <c r="M31" s="50" t="str">
        <f>IF(OR($F31="",$F31=0),"",CEILING($F31*'Set % Engine'!$C$19,5))</f>
        <v/>
      </c>
      <c r="N31" s="50" t="str">
        <f>IF(OR($D31="",$D31=0),"",CEILING($D31*'Set % Engine'!$C$20,5))</f>
        <v/>
      </c>
      <c r="O31" s="50" t="str">
        <f>IF(OR($D31="",$D31=0),"",CEILING($D31*'Set % Engine'!$C$21,5))</f>
        <v/>
      </c>
      <c r="P31" s="50" t="str">
        <f>IF(OR($L31="",$L31=0),"",CEILING($L31*'Set % Engine'!$C$22,5))</f>
        <v/>
      </c>
      <c r="Q31" s="50" t="str">
        <f>IF(OR($F31="",$F31=0),"",CEILING($F31*'Set % Engine'!$C$23,5))</f>
        <v/>
      </c>
      <c r="R31" s="50" t="str">
        <f>IF(OR($G31="",$G31=0),"",CEILING($G31*'Set % Engine'!$C$24,5))</f>
        <v/>
      </c>
    </row>
    <row r="32" spans="1:18" ht="15" customHeight="1" x14ac:dyDescent="0.35">
      <c r="A32" s="7">
        <v>29</v>
      </c>
      <c r="B32" s="12"/>
      <c r="C32" s="16"/>
      <c r="D32" s="16"/>
      <c r="E32" s="16"/>
      <c r="F32" s="16"/>
      <c r="G32" s="16"/>
      <c r="H32" s="16"/>
      <c r="I32" s="16"/>
      <c r="J32" s="50" t="str">
        <f>IF(OR($E32="",$E32=0),"",CEILING($E32*'Set % Engine'!$C$16,5))</f>
        <v/>
      </c>
      <c r="K32" s="50" t="str">
        <f>IF(OR($C32="",$C32=0),"",CEILING($C32*'Set % Engine'!$C$17,5))</f>
        <v/>
      </c>
      <c r="L32" s="50" t="str">
        <f>IF(OR($D32="",$D32=0),"",CEILING($D32*'Set % Engine'!$C$18,5))</f>
        <v/>
      </c>
      <c r="M32" s="50" t="str">
        <f>IF(OR($F32="",$F32=0),"",CEILING($F32*'Set % Engine'!$C$19,5))</f>
        <v/>
      </c>
      <c r="N32" s="50" t="str">
        <f>IF(OR($D32="",$D32=0),"",CEILING($D32*'Set % Engine'!$C$20,5))</f>
        <v/>
      </c>
      <c r="O32" s="50" t="str">
        <f>IF(OR($D32="",$D32=0),"",CEILING($D32*'Set % Engine'!$C$21,5))</f>
        <v/>
      </c>
      <c r="P32" s="50" t="str">
        <f>IF(OR($L32="",$L32=0),"",CEILING($L32*'Set % Engine'!$C$22,5))</f>
        <v/>
      </c>
      <c r="Q32" s="50" t="str">
        <f>IF(OR($F32="",$F32=0),"",CEILING($F32*'Set % Engine'!$C$23,5))</f>
        <v/>
      </c>
      <c r="R32" s="50" t="str">
        <f>IF(OR($G32="",$G32=0),"",CEILING($G32*'Set % Engine'!$C$24,5))</f>
        <v/>
      </c>
    </row>
    <row r="33" spans="1:18" ht="15" customHeight="1" x14ac:dyDescent="0.35">
      <c r="A33" s="7">
        <v>30</v>
      </c>
      <c r="B33" s="12"/>
      <c r="C33" s="16"/>
      <c r="D33" s="16"/>
      <c r="E33" s="16"/>
      <c r="F33" s="16"/>
      <c r="G33" s="16"/>
      <c r="H33" s="16"/>
      <c r="I33" s="16"/>
      <c r="J33" s="50" t="str">
        <f>IF(OR($E33="",$E33=0),"",CEILING($E33*'Set % Engine'!$C$16,5))</f>
        <v/>
      </c>
      <c r="K33" s="50" t="str">
        <f>IF(OR($C33="",$C33=0),"",CEILING($C33*'Set % Engine'!$C$17,5))</f>
        <v/>
      </c>
      <c r="L33" s="50" t="str">
        <f>IF(OR($D33="",$D33=0),"",CEILING($D33*'Set % Engine'!$C$18,5))</f>
        <v/>
      </c>
      <c r="M33" s="50" t="str">
        <f>IF(OR($F33="",$F33=0),"",CEILING($F33*'Set % Engine'!$C$19,5))</f>
        <v/>
      </c>
      <c r="N33" s="50" t="str">
        <f>IF(OR($D33="",$D33=0),"",CEILING($D33*'Set % Engine'!$C$20,5))</f>
        <v/>
      </c>
      <c r="O33" s="50" t="str">
        <f>IF(OR($D33="",$D33=0),"",CEILING($D33*'Set % Engine'!$C$21,5))</f>
        <v/>
      </c>
      <c r="P33" s="50" t="str">
        <f>IF(OR($L33="",$L33=0),"",CEILING($L33*'Set % Engine'!$C$22,5))</f>
        <v/>
      </c>
      <c r="Q33" s="50" t="str">
        <f>IF(OR($F33="",$F33=0),"",CEILING($F33*'Set % Engine'!$C$23,5))</f>
        <v/>
      </c>
      <c r="R33" s="50" t="str">
        <f>IF(OR($G33="",$G33=0),"",CEILING($G33*'Set % Engine'!$C$24,5))</f>
        <v/>
      </c>
    </row>
    <row r="34" spans="1:18" ht="15" customHeight="1" x14ac:dyDescent="0.35">
      <c r="A34" s="7">
        <v>31</v>
      </c>
      <c r="B34" s="12"/>
      <c r="C34" s="16"/>
      <c r="D34" s="16"/>
      <c r="E34" s="16"/>
      <c r="F34" s="16"/>
      <c r="G34" s="16"/>
      <c r="H34" s="16"/>
      <c r="I34" s="16"/>
      <c r="J34" s="50" t="str">
        <f>IF(OR($E34="",$E34=0),"",CEILING($E34*'Set % Engine'!$C$16,5))</f>
        <v/>
      </c>
      <c r="K34" s="50" t="str">
        <f>IF(OR($C34="",$C34=0),"",CEILING($C34*'Set % Engine'!$C$17,5))</f>
        <v/>
      </c>
      <c r="L34" s="50" t="str">
        <f>IF(OR($D34="",$D34=0),"",CEILING($D34*'Set % Engine'!$C$18,5))</f>
        <v/>
      </c>
      <c r="M34" s="50" t="str">
        <f>IF(OR($F34="",$F34=0),"",CEILING($F34*'Set % Engine'!$C$19,5))</f>
        <v/>
      </c>
      <c r="N34" s="50" t="str">
        <f>IF(OR($D34="",$D34=0),"",CEILING($D34*'Set % Engine'!$C$20,5))</f>
        <v/>
      </c>
      <c r="O34" s="50" t="str">
        <f>IF(OR($D34="",$D34=0),"",CEILING($D34*'Set % Engine'!$C$21,5))</f>
        <v/>
      </c>
      <c r="P34" s="50" t="str">
        <f>IF(OR($L34="",$L34=0),"",CEILING($L34*'Set % Engine'!$C$22,5))</f>
        <v/>
      </c>
      <c r="Q34" s="50" t="str">
        <f>IF(OR($F34="",$F34=0),"",CEILING($F34*'Set % Engine'!$C$23,5))</f>
        <v/>
      </c>
      <c r="R34" s="50" t="str">
        <f>IF(OR($G34="",$G34=0),"",CEILING($G34*'Set % Engine'!$C$24,5))</f>
        <v/>
      </c>
    </row>
    <row r="35" spans="1:18" ht="15" customHeight="1" x14ac:dyDescent="0.35">
      <c r="A35" s="7">
        <v>32</v>
      </c>
      <c r="B35" s="12"/>
      <c r="C35" s="16"/>
      <c r="D35" s="16"/>
      <c r="E35" s="16"/>
      <c r="F35" s="16"/>
      <c r="G35" s="16"/>
      <c r="H35" s="16"/>
      <c r="I35" s="16"/>
      <c r="J35" s="50" t="str">
        <f>IF(OR($E35="",$E35=0),"",CEILING($E35*'Set % Engine'!$C$16,5))</f>
        <v/>
      </c>
      <c r="K35" s="50" t="str">
        <f>IF(OR($C35="",$C35=0),"",CEILING($C35*'Set % Engine'!$C$17,5))</f>
        <v/>
      </c>
      <c r="L35" s="50" t="str">
        <f>IF(OR($D35="",$D35=0),"",CEILING($D35*'Set % Engine'!$C$18,5))</f>
        <v/>
      </c>
      <c r="M35" s="50" t="str">
        <f>IF(OR($F35="",$F35=0),"",CEILING($F35*'Set % Engine'!$C$19,5))</f>
        <v/>
      </c>
      <c r="N35" s="50" t="str">
        <f>IF(OR($D35="",$D35=0),"",CEILING($D35*'Set % Engine'!$C$20,5))</f>
        <v/>
      </c>
      <c r="O35" s="50" t="str">
        <f>IF(OR($D35="",$D35=0),"",CEILING($D35*'Set % Engine'!$C$21,5))</f>
        <v/>
      </c>
      <c r="P35" s="50" t="str">
        <f>IF(OR($L35="",$L35=0),"",CEILING($L35*'Set % Engine'!$C$22,5))</f>
        <v/>
      </c>
      <c r="Q35" s="50" t="str">
        <f>IF(OR($F35="",$F35=0),"",CEILING($F35*'Set % Engine'!$C$23,5))</f>
        <v/>
      </c>
      <c r="R35" s="50" t="str">
        <f>IF(OR($G35="",$G35=0),"",CEILING($G35*'Set % Engine'!$C$24,5))</f>
        <v/>
      </c>
    </row>
    <row r="36" spans="1:18" ht="15" customHeight="1" x14ac:dyDescent="0.35">
      <c r="A36" s="7">
        <v>33</v>
      </c>
      <c r="B36" s="12"/>
      <c r="C36" s="16"/>
      <c r="D36" s="16"/>
      <c r="E36" s="16"/>
      <c r="F36" s="16"/>
      <c r="G36" s="16"/>
      <c r="H36" s="16"/>
      <c r="I36" s="16"/>
      <c r="J36" s="50" t="str">
        <f>IF(OR($E36="",$E36=0),"",CEILING($E36*'Set % Engine'!$C$16,5))</f>
        <v/>
      </c>
      <c r="K36" s="50" t="str">
        <f>IF(OR($C36="",$C36=0),"",CEILING($C36*'Set % Engine'!$C$17,5))</f>
        <v/>
      </c>
      <c r="L36" s="50" t="str">
        <f>IF(OR($D36="",$D36=0),"",CEILING($D36*'Set % Engine'!$C$18,5))</f>
        <v/>
      </c>
      <c r="M36" s="50" t="str">
        <f>IF(OR($F36="",$F36=0),"",CEILING($F36*'Set % Engine'!$C$19,5))</f>
        <v/>
      </c>
      <c r="N36" s="50" t="str">
        <f>IF(OR($D36="",$D36=0),"",CEILING($D36*'Set % Engine'!$C$20,5))</f>
        <v/>
      </c>
      <c r="O36" s="50" t="str">
        <f>IF(OR($D36="",$D36=0),"",CEILING($D36*'Set % Engine'!$C$21,5))</f>
        <v/>
      </c>
      <c r="P36" s="50" t="str">
        <f>IF(OR($L36="",$L36=0),"",CEILING($L36*'Set % Engine'!$C$22,5))</f>
        <v/>
      </c>
      <c r="Q36" s="50" t="str">
        <f>IF(OR($F36="",$F36=0),"",CEILING($F36*'Set % Engine'!$C$23,5))</f>
        <v/>
      </c>
      <c r="R36" s="50" t="str">
        <f>IF(OR($G36="",$G36=0),"",CEILING($G36*'Set % Engine'!$C$24,5))</f>
        <v/>
      </c>
    </row>
    <row r="37" spans="1:18" ht="15" customHeight="1" x14ac:dyDescent="0.35">
      <c r="A37" s="7">
        <v>34</v>
      </c>
      <c r="B37" s="12"/>
      <c r="C37" s="16"/>
      <c r="D37" s="16"/>
      <c r="E37" s="16"/>
      <c r="F37" s="16"/>
      <c r="G37" s="16"/>
      <c r="H37" s="16"/>
      <c r="I37" s="16"/>
      <c r="J37" s="50" t="str">
        <f>IF(OR($E37="",$E37=0),"",CEILING($E37*'Set % Engine'!$C$16,5))</f>
        <v/>
      </c>
      <c r="K37" s="50" t="str">
        <f>IF(OR($C37="",$C37=0),"",CEILING($C37*'Set % Engine'!$C$17,5))</f>
        <v/>
      </c>
      <c r="L37" s="50" t="str">
        <f>IF(OR($D37="",$D37=0),"",CEILING($D37*'Set % Engine'!$C$18,5))</f>
        <v/>
      </c>
      <c r="M37" s="50" t="str">
        <f>IF(OR($F37="",$F37=0),"",CEILING($F37*'Set % Engine'!$C$19,5))</f>
        <v/>
      </c>
      <c r="N37" s="50" t="str">
        <f>IF(OR($D37="",$D37=0),"",CEILING($D37*'Set % Engine'!$C$20,5))</f>
        <v/>
      </c>
      <c r="O37" s="50" t="str">
        <f>IF(OR($D37="",$D37=0),"",CEILING($D37*'Set % Engine'!$C$21,5))</f>
        <v/>
      </c>
      <c r="P37" s="50" t="str">
        <f>IF(OR($L37="",$L37=0),"",CEILING($L37*'Set % Engine'!$C$22,5))</f>
        <v/>
      </c>
      <c r="Q37" s="50" t="str">
        <f>IF(OR($F37="",$F37=0),"",CEILING($F37*'Set % Engine'!$C$23,5))</f>
        <v/>
      </c>
      <c r="R37" s="50" t="str">
        <f>IF(OR($G37="",$G37=0),"",CEILING($G37*'Set % Engine'!$C$24,5))</f>
        <v/>
      </c>
    </row>
    <row r="38" spans="1:18" ht="15" customHeight="1" x14ac:dyDescent="0.35">
      <c r="A38" s="7">
        <v>35</v>
      </c>
      <c r="B38" s="12"/>
      <c r="C38" s="16"/>
      <c r="D38" s="16"/>
      <c r="E38" s="16"/>
      <c r="F38" s="16"/>
      <c r="G38" s="16"/>
      <c r="H38" s="16"/>
      <c r="I38" s="16"/>
      <c r="J38" s="50" t="str">
        <f>IF(OR($E38="",$E38=0),"",CEILING($E38*'Set % Engine'!$C$16,5))</f>
        <v/>
      </c>
      <c r="K38" s="50" t="str">
        <f>IF(OR($C38="",$C38=0),"",CEILING($C38*'Set % Engine'!$C$17,5))</f>
        <v/>
      </c>
      <c r="L38" s="50" t="str">
        <f>IF(OR($D38="",$D38=0),"",CEILING($D38*'Set % Engine'!$C$18,5))</f>
        <v/>
      </c>
      <c r="M38" s="50" t="str">
        <f>IF(OR($F38="",$F38=0),"",CEILING($F38*'Set % Engine'!$C$19,5))</f>
        <v/>
      </c>
      <c r="N38" s="50" t="str">
        <f>IF(OR($D38="",$D38=0),"",CEILING($D38*'Set % Engine'!$C$20,5))</f>
        <v/>
      </c>
      <c r="O38" s="50" t="str">
        <f>IF(OR($D38="",$D38=0),"",CEILING($D38*'Set % Engine'!$C$21,5))</f>
        <v/>
      </c>
      <c r="P38" s="50" t="str">
        <f>IF(OR($L38="",$L38=0),"",CEILING($L38*'Set % Engine'!$C$22,5))</f>
        <v/>
      </c>
      <c r="Q38" s="50" t="str">
        <f>IF(OR($F38="",$F38=0),"",CEILING($F38*'Set % Engine'!$C$23,5))</f>
        <v/>
      </c>
      <c r="R38" s="50" t="str">
        <f>IF(OR($G38="",$G38=0),"",CEILING($G38*'Set % Engine'!$C$24,5))</f>
        <v/>
      </c>
    </row>
    <row r="39" spans="1:18" ht="15" customHeight="1" x14ac:dyDescent="0.35">
      <c r="A39" s="7">
        <v>36</v>
      </c>
      <c r="B39" s="12"/>
      <c r="C39" s="16"/>
      <c r="D39" s="16"/>
      <c r="E39" s="16"/>
      <c r="F39" s="16"/>
      <c r="G39" s="16"/>
      <c r="H39" s="16"/>
      <c r="I39" s="16"/>
      <c r="J39" s="50" t="str">
        <f>IF(OR($E39="",$E39=0),"",CEILING($E39*'Set % Engine'!$C$16,5))</f>
        <v/>
      </c>
      <c r="K39" s="50" t="str">
        <f>IF(OR($C39="",$C39=0),"",CEILING($C39*'Set % Engine'!$C$17,5))</f>
        <v/>
      </c>
      <c r="L39" s="50" t="str">
        <f>IF(OR($D39="",$D39=0),"",CEILING($D39*'Set % Engine'!$C$18,5))</f>
        <v/>
      </c>
      <c r="M39" s="50" t="str">
        <f>IF(OR($F39="",$F39=0),"",CEILING($F39*'Set % Engine'!$C$19,5))</f>
        <v/>
      </c>
      <c r="N39" s="50" t="str">
        <f>IF(OR($D39="",$D39=0),"",CEILING($D39*'Set % Engine'!$C$20,5))</f>
        <v/>
      </c>
      <c r="O39" s="50" t="str">
        <f>IF(OR($D39="",$D39=0),"",CEILING($D39*'Set % Engine'!$C$21,5))</f>
        <v/>
      </c>
      <c r="P39" s="50" t="str">
        <f>IF(OR($L39="",$L39=0),"",CEILING($L39*'Set % Engine'!$C$22,5))</f>
        <v/>
      </c>
      <c r="Q39" s="50" t="str">
        <f>IF(OR($F39="",$F39=0),"",CEILING($F39*'Set % Engine'!$C$23,5))</f>
        <v/>
      </c>
      <c r="R39" s="50" t="str">
        <f>IF(OR($G39="",$G39=0),"",CEILING($G39*'Set % Engine'!$C$24,5))</f>
        <v/>
      </c>
    </row>
    <row r="40" spans="1:18" ht="15" customHeight="1" x14ac:dyDescent="0.35">
      <c r="A40" s="7">
        <v>37</v>
      </c>
      <c r="B40" s="12"/>
      <c r="C40" s="16"/>
      <c r="D40" s="16"/>
      <c r="E40" s="16"/>
      <c r="F40" s="16"/>
      <c r="G40" s="16"/>
      <c r="H40" s="16"/>
      <c r="I40" s="16"/>
      <c r="J40" s="50" t="str">
        <f>IF(OR($E40="",$E40=0),"",CEILING($E40*'Set % Engine'!$C$16,5))</f>
        <v/>
      </c>
      <c r="K40" s="50" t="str">
        <f>IF(OR($C40="",$C40=0),"",CEILING($C40*'Set % Engine'!$C$17,5))</f>
        <v/>
      </c>
      <c r="L40" s="50" t="str">
        <f>IF(OR($D40="",$D40=0),"",CEILING($D40*'Set % Engine'!$C$18,5))</f>
        <v/>
      </c>
      <c r="M40" s="50" t="str">
        <f>IF(OR($F40="",$F40=0),"",CEILING($F40*'Set % Engine'!$C$19,5))</f>
        <v/>
      </c>
      <c r="N40" s="50" t="str">
        <f>IF(OR($D40="",$D40=0),"",CEILING($D40*'Set % Engine'!$C$20,5))</f>
        <v/>
      </c>
      <c r="O40" s="50" t="str">
        <f>IF(OR($D40="",$D40=0),"",CEILING($D40*'Set % Engine'!$C$21,5))</f>
        <v/>
      </c>
      <c r="P40" s="50" t="str">
        <f>IF(OR($L40="",$L40=0),"",CEILING($L40*'Set % Engine'!$C$22,5))</f>
        <v/>
      </c>
      <c r="Q40" s="50" t="str">
        <f>IF(OR($F40="",$F40=0),"",CEILING($F40*'Set % Engine'!$C$23,5))</f>
        <v/>
      </c>
      <c r="R40" s="50" t="str">
        <f>IF(OR($G40="",$G40=0),"",CEILING($G40*'Set % Engine'!$C$24,5))</f>
        <v/>
      </c>
    </row>
    <row r="41" spans="1:18" ht="15" customHeight="1" x14ac:dyDescent="0.35">
      <c r="A41" s="7">
        <v>38</v>
      </c>
      <c r="B41" s="12"/>
      <c r="C41" s="16"/>
      <c r="D41" s="16"/>
      <c r="E41" s="16"/>
      <c r="F41" s="16"/>
      <c r="G41" s="16"/>
      <c r="H41" s="16"/>
      <c r="I41" s="16"/>
      <c r="J41" s="50" t="str">
        <f>IF(OR($E41="",$E41=0),"",CEILING($E41*'Set % Engine'!$C$16,5))</f>
        <v/>
      </c>
      <c r="K41" s="50" t="str">
        <f>IF(OR($C41="",$C41=0),"",CEILING($C41*'Set % Engine'!$C$17,5))</f>
        <v/>
      </c>
      <c r="L41" s="50" t="str">
        <f>IF(OR($D41="",$D41=0),"",CEILING($D41*'Set % Engine'!$C$18,5))</f>
        <v/>
      </c>
      <c r="M41" s="50" t="str">
        <f>IF(OR($F41="",$F41=0),"",CEILING($F41*'Set % Engine'!$C$19,5))</f>
        <v/>
      </c>
      <c r="N41" s="50" t="str">
        <f>IF(OR($D41="",$D41=0),"",CEILING($D41*'Set % Engine'!$C$20,5))</f>
        <v/>
      </c>
      <c r="O41" s="50" t="str">
        <f>IF(OR($D41="",$D41=0),"",CEILING($D41*'Set % Engine'!$C$21,5))</f>
        <v/>
      </c>
      <c r="P41" s="50" t="str">
        <f>IF(OR($L41="",$L41=0),"",CEILING($L41*'Set % Engine'!$C$22,5))</f>
        <v/>
      </c>
      <c r="Q41" s="50" t="str">
        <f>IF(OR($F41="",$F41=0),"",CEILING($F41*'Set % Engine'!$C$23,5))</f>
        <v/>
      </c>
      <c r="R41" s="50" t="str">
        <f>IF(OR($G41="",$G41=0),"",CEILING($G41*'Set % Engine'!$C$24,5))</f>
        <v/>
      </c>
    </row>
    <row r="42" spans="1:18" ht="15" customHeight="1" x14ac:dyDescent="0.35">
      <c r="A42" s="7">
        <v>39</v>
      </c>
      <c r="B42" s="12"/>
      <c r="C42" s="16"/>
      <c r="D42" s="16"/>
      <c r="E42" s="16"/>
      <c r="F42" s="16"/>
      <c r="G42" s="16"/>
      <c r="H42" s="16"/>
      <c r="I42" s="16"/>
      <c r="J42" s="50" t="str">
        <f>IF(OR($E42="",$E42=0),"",CEILING($E42*'Set % Engine'!$C$16,5))</f>
        <v/>
      </c>
      <c r="K42" s="50" t="str">
        <f>IF(OR($C42="",$C42=0),"",CEILING($C42*'Set % Engine'!$C$17,5))</f>
        <v/>
      </c>
      <c r="L42" s="50" t="str">
        <f>IF(OR($D42="",$D42=0),"",CEILING($D42*'Set % Engine'!$C$18,5))</f>
        <v/>
      </c>
      <c r="M42" s="50" t="str">
        <f>IF(OR($F42="",$F42=0),"",CEILING($F42*'Set % Engine'!$C$19,5))</f>
        <v/>
      </c>
      <c r="N42" s="50" t="str">
        <f>IF(OR($D42="",$D42=0),"",CEILING($D42*'Set % Engine'!$C$20,5))</f>
        <v/>
      </c>
      <c r="O42" s="50" t="str">
        <f>IF(OR($D42="",$D42=0),"",CEILING($D42*'Set % Engine'!$C$21,5))</f>
        <v/>
      </c>
      <c r="P42" s="50" t="str">
        <f>IF(OR($L42="",$L42=0),"",CEILING($L42*'Set % Engine'!$C$22,5))</f>
        <v/>
      </c>
      <c r="Q42" s="50" t="str">
        <f>IF(OR($F42="",$F42=0),"",CEILING($F42*'Set % Engine'!$C$23,5))</f>
        <v/>
      </c>
      <c r="R42" s="50" t="str">
        <f>IF(OR($G42="",$G42=0),"",CEILING($G42*'Set % Engine'!$C$24,5))</f>
        <v/>
      </c>
    </row>
    <row r="43" spans="1:18" ht="15" customHeight="1" x14ac:dyDescent="0.35">
      <c r="A43" s="7">
        <v>40</v>
      </c>
      <c r="B43" s="12"/>
      <c r="C43" s="16"/>
      <c r="D43" s="16"/>
      <c r="E43" s="16"/>
      <c r="F43" s="16"/>
      <c r="G43" s="16"/>
      <c r="H43" s="16"/>
      <c r="I43" s="16"/>
      <c r="J43" s="50" t="str">
        <f>IF(OR($E43="",$E43=0),"",CEILING($E43*'Set % Engine'!$C$16,5))</f>
        <v/>
      </c>
      <c r="K43" s="50" t="str">
        <f>IF(OR($C43="",$C43=0),"",CEILING($C43*'Set % Engine'!$C$17,5))</f>
        <v/>
      </c>
      <c r="L43" s="50" t="str">
        <f>IF(OR($D43="",$D43=0),"",CEILING($D43*'Set % Engine'!$C$18,5))</f>
        <v/>
      </c>
      <c r="M43" s="50" t="str">
        <f>IF(OR($F43="",$F43=0),"",CEILING($F43*'Set % Engine'!$C$19,5))</f>
        <v/>
      </c>
      <c r="N43" s="50" t="str">
        <f>IF(OR($D43="",$D43=0),"",CEILING($D43*'Set % Engine'!$C$20,5))</f>
        <v/>
      </c>
      <c r="O43" s="50" t="str">
        <f>IF(OR($D43="",$D43=0),"",CEILING($D43*'Set % Engine'!$C$21,5))</f>
        <v/>
      </c>
      <c r="P43" s="50" t="str">
        <f>IF(OR($L43="",$L43=0),"",CEILING($L43*'Set % Engine'!$C$22,5))</f>
        <v/>
      </c>
      <c r="Q43" s="50" t="str">
        <f>IF(OR($F43="",$F43=0),"",CEILING($F43*'Set % Engine'!$C$23,5))</f>
        <v/>
      </c>
      <c r="R43" s="50" t="str">
        <f>IF(OR($G43="",$G43=0),"",CEILING($G43*'Set % Engine'!$C$24,5))</f>
        <v/>
      </c>
    </row>
    <row r="45" spans="1:18" ht="15" customHeight="1" x14ac:dyDescent="0.35">
      <c r="A45" s="15" t="s">
        <v>276</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1"/>
  <sheetViews>
    <sheetView zoomScaleNormal="100" workbookViewId="0">
      <pane ySplit="6" topLeftCell="A70" activePane="bottomLeft" state="frozen"/>
      <selection pane="bottomLeft"/>
    </sheetView>
  </sheetViews>
  <sheetFormatPr defaultColWidth="8.6328125" defaultRowHeight="14.5" x14ac:dyDescent="0.35"/>
  <cols>
    <col min="1" max="1" width="11" style="1" customWidth="1"/>
    <col min="2" max="5" width="26" style="1" customWidth="1"/>
    <col min="6" max="21" width="12" style="1" customWidth="1"/>
  </cols>
  <sheetData>
    <row r="1" spans="1:16" ht="17.25" customHeight="1" x14ac:dyDescent="0.4">
      <c r="A1" s="25" t="s">
        <v>277</v>
      </c>
    </row>
    <row r="3" spans="1:16" ht="15" customHeight="1" x14ac:dyDescent="0.35">
      <c r="A3" s="13" t="s">
        <v>278</v>
      </c>
      <c r="B3" s="51" t="s">
        <v>254</v>
      </c>
      <c r="C3" s="13" t="s">
        <v>279</v>
      </c>
    </row>
    <row r="5" spans="1:16" ht="33.75" customHeight="1" x14ac:dyDescent="0.35">
      <c r="A5" s="6" t="s">
        <v>280</v>
      </c>
      <c r="B5" s="52" t="s">
        <v>47</v>
      </c>
      <c r="C5" s="52" t="s">
        <v>53</v>
      </c>
      <c r="D5" s="52" t="s">
        <v>58</v>
      </c>
      <c r="E5" s="52" t="s">
        <v>62</v>
      </c>
      <c r="F5" s="52" t="s">
        <v>65</v>
      </c>
      <c r="G5" s="52" t="s">
        <v>68</v>
      </c>
      <c r="H5" s="52" t="s">
        <v>70</v>
      </c>
      <c r="I5" s="52" t="s">
        <v>72</v>
      </c>
      <c r="J5" s="52" t="s">
        <v>73</v>
      </c>
      <c r="K5" s="52" t="s">
        <v>74</v>
      </c>
      <c r="L5" s="52" t="s">
        <v>75</v>
      </c>
      <c r="M5" s="52" t="s">
        <v>76</v>
      </c>
      <c r="N5" s="52" t="s">
        <v>77</v>
      </c>
      <c r="O5" s="52" t="s">
        <v>78</v>
      </c>
      <c r="P5" s="52" t="s">
        <v>79</v>
      </c>
    </row>
    <row r="6" spans="1:16" ht="15" customHeight="1" x14ac:dyDescent="0.35">
      <c r="A6" s="34" t="s">
        <v>281</v>
      </c>
      <c r="B6" s="53">
        <f>IF($B$3="","",IFERROR(INDEX('Max Master'!$C$4:$C$43,MATCH($B$3,'Max Master'!$B$4:$B$43,0)),""))</f>
        <v>235</v>
      </c>
      <c r="C6" s="53">
        <f>IF($B$3="","",IFERROR(INDEX('Max Master'!$D$4:$D$43,MATCH($B$3,'Max Master'!$B$4:$B$43,0)),""))</f>
        <v>210</v>
      </c>
      <c r="D6" s="53">
        <f>IF($B$3="","",IFERROR(INDEX('Max Master'!$E$4:$E$43,MATCH($B$3,'Max Master'!$B$4:$B$43,0)),""))</f>
        <v>315</v>
      </c>
      <c r="E6" s="53">
        <f>IF($B$3="","",IFERROR(INDEX('Max Master'!$F$4:$F$43,MATCH($B$3,'Max Master'!$B$4:$B$43,0)),""))</f>
        <v>135</v>
      </c>
      <c r="F6" s="53">
        <f>IF($B$3="","",IFERROR(INDEX('Max Master'!$G$4:$G$43,MATCH($B$3,'Max Master'!$B$4:$B$43,0)),""))</f>
        <v>85</v>
      </c>
      <c r="G6" s="53">
        <f>IF($B$3="","",IFERROR(INDEX('Max Master'!$H$4:$H$43,MATCH($B$3,'Max Master'!$B$4:$B$43,0)),""))</f>
        <v>200</v>
      </c>
      <c r="H6" s="53">
        <f>IF($B$3="","",IFERROR(INDEX('Max Master'!$J$4:$J$43,MATCH($B$3,'Max Master'!$B$4:$B$43,0)),""))</f>
        <v>255</v>
      </c>
      <c r="I6" s="53">
        <f>IF($B$3="","",IFERROR(INDEX('Max Master'!$K$4:$K$43,MATCH($B$3,'Max Master'!$B$4:$B$43,0)),""))</f>
        <v>190</v>
      </c>
      <c r="J6" s="53">
        <f>IF($B$3="","",IFERROR(INDEX('Max Master'!$L$4:$L$43,MATCH($B$3,'Max Master'!$B$4:$B$43,0)),""))</f>
        <v>170</v>
      </c>
      <c r="K6" s="53">
        <f>IF($B$3="","",IFERROR(INDEX('Max Master'!$M$4:$M$43,MATCH($B$3,'Max Master'!$B$4:$B$43,0)),""))</f>
        <v>110</v>
      </c>
      <c r="L6" s="53">
        <f>IF($B$3="","",IFERROR(INDEX('Max Master'!$N$4:$N$43,MATCH($B$3,'Max Master'!$B$4:$B$43,0)),""))</f>
        <v>170</v>
      </c>
      <c r="M6" s="53">
        <f>IF($B$3="","",IFERROR(INDEX('Max Master'!$O$4:$O$43,MATCH($B$3,'Max Master'!$B$4:$B$43,0)),""))</f>
        <v>170</v>
      </c>
      <c r="N6" s="53">
        <f>IF($B$3="","",IFERROR(INDEX('Max Master'!$P$4:$P$43,MATCH($B$3,'Max Master'!$B$4:$B$43,0)),""))</f>
        <v>140</v>
      </c>
      <c r="O6" s="53">
        <f>IF($B$3="","",IFERROR(INDEX('Max Master'!$Q$4:$Q$43,MATCH($B$3,'Max Master'!$B$4:$B$43,0)),""))</f>
        <v>160</v>
      </c>
      <c r="P6" s="53">
        <f>IF($B$3="","",IFERROR(INDEX('Max Master'!$R$4:$R$43,MATCH($B$3,'Max Master'!$B$4:$B$43,0)),""))</f>
        <v>100</v>
      </c>
    </row>
    <row r="8" spans="1:16" ht="15" customHeight="1" x14ac:dyDescent="0.35">
      <c r="A8" s="42"/>
      <c r="B8" s="42" t="s">
        <v>230</v>
      </c>
      <c r="C8" s="42" t="s">
        <v>231</v>
      </c>
      <c r="D8" s="42" t="s">
        <v>232</v>
      </c>
      <c r="E8" s="42" t="s">
        <v>233</v>
      </c>
    </row>
    <row r="9" spans="1:16" ht="15" customHeight="1" x14ac:dyDescent="0.35">
      <c r="A9" s="28" t="s">
        <v>282</v>
      </c>
      <c r="B9" s="54" t="str">
        <f>'Set % Engine'!B5</f>
        <v>5 x 8, 8, 6, 6, 4</v>
      </c>
      <c r="C9" s="54" t="str">
        <f>'Set % Engine'!C5</f>
        <v>5 x 5</v>
      </c>
      <c r="D9" s="54" t="str">
        <f>'Set % Engine'!D5</f>
        <v>5 x 3 / 4 x 4</v>
      </c>
      <c r="E9" s="54" t="str">
        <f>'Set % Engine'!E5</f>
        <v>2 x 3 / 3 x 1</v>
      </c>
    </row>
    <row r="10" spans="1:16" ht="15" customHeight="1" x14ac:dyDescent="0.35">
      <c r="A10" s="28" t="s">
        <v>114</v>
      </c>
      <c r="B10" s="55">
        <f>'Set % Engine'!B4</f>
        <v>0.9</v>
      </c>
      <c r="C10" s="55">
        <f>'Set % Engine'!C4</f>
        <v>0.85</v>
      </c>
      <c r="D10" s="55">
        <f>'Set % Engine'!D4</f>
        <v>0.82</v>
      </c>
      <c r="E10" s="55">
        <f>'Set % Engine'!E4</f>
        <v>0.95</v>
      </c>
    </row>
    <row r="12" spans="1:16" ht="15" customHeight="1" x14ac:dyDescent="0.35">
      <c r="A12" s="56" t="s">
        <v>283</v>
      </c>
      <c r="B12" s="57" t="s">
        <v>58</v>
      </c>
      <c r="C12" s="57" t="s">
        <v>47</v>
      </c>
      <c r="D12" s="57" t="s">
        <v>58</v>
      </c>
      <c r="E12" s="57" t="s">
        <v>47</v>
      </c>
    </row>
    <row r="13" spans="1:16" ht="15" customHeight="1" x14ac:dyDescent="0.35">
      <c r="A13" s="28" t="s">
        <v>241</v>
      </c>
      <c r="B13" s="58">
        <f>IFERROR(CEILING(HLOOKUP(B$12,$B$5:$P$6,2,FALSE())*'Set % Engine'!B$4*'Set % Engine'!B$7,5),"")</f>
        <v>230</v>
      </c>
      <c r="C13" s="58">
        <f>IFERROR(CEILING(HLOOKUP(C$12,$B$5:$P$6,2,FALSE())*'Set % Engine'!C$4*'Set % Engine'!C$7,5),"")</f>
        <v>160</v>
      </c>
      <c r="D13" s="58">
        <f>IFERROR(CEILING(HLOOKUP(D$12,$B$5:$P$6,2,FALSE())*'Set % Engine'!D$4*'Set % Engine'!D$7,5),"")</f>
        <v>215</v>
      </c>
      <c r="E13" s="58">
        <f>IFERROR(CEILING(HLOOKUP(E$12,$B$5:$P$6,2,FALSE())*'Set % Engine'!E$4*'Set % Engine'!E$7,5),"")</f>
        <v>195</v>
      </c>
    </row>
    <row r="14" spans="1:16" ht="15" customHeight="1" x14ac:dyDescent="0.35">
      <c r="A14" s="28" t="s">
        <v>242</v>
      </c>
      <c r="B14" s="59">
        <f>IFERROR(CEILING(HLOOKUP(B$12,$B$5:$P$6,2,FALSE())*'Set % Engine'!B$4*'Set % Engine'!B$8,5),"")</f>
        <v>205</v>
      </c>
      <c r="C14" s="59">
        <f>IFERROR(CEILING(HLOOKUP(C$12,$B$5:$P$6,2,FALSE())*'Set % Engine'!C$4*'Set % Engine'!C$8,5),"")</f>
        <v>145</v>
      </c>
      <c r="D14" s="59">
        <f>IFERROR(CEILING(HLOOKUP(D$12,$B$5:$P$6,2,FALSE())*'Set % Engine'!D$4*'Set % Engine'!D$8,5),"")</f>
        <v>195</v>
      </c>
      <c r="E14" s="59">
        <f>IFERROR(CEILING(HLOOKUP(E$12,$B$5:$P$6,2,FALSE())*'Set % Engine'!E$4*'Set % Engine'!E$8,5),"")</f>
        <v>175</v>
      </c>
    </row>
    <row r="15" spans="1:16" ht="15" customHeight="1" x14ac:dyDescent="0.35">
      <c r="A15" s="28" t="s">
        <v>243</v>
      </c>
      <c r="B15" s="58">
        <f>IFERROR(CEILING(HLOOKUP(B$12,$B$5:$P$6,2,FALSE())*'Set % Engine'!B$4*'Set % Engine'!B$9,5),"")</f>
        <v>185</v>
      </c>
      <c r="C15" s="58">
        <f>IFERROR(CEILING(HLOOKUP(C$12,$B$5:$P$6,2,FALSE())*'Set % Engine'!C$4*'Set % Engine'!C$9,5),"")</f>
        <v>145</v>
      </c>
      <c r="D15" s="58">
        <f>IFERROR(CEILING(HLOOKUP(D$12,$B$5:$P$6,2,FALSE())*'Set % Engine'!D$4*'Set % Engine'!D$9,5),"")</f>
        <v>175</v>
      </c>
      <c r="E15" s="58">
        <f>IFERROR(CEILING(HLOOKUP(E$12,$B$5:$P$6,2,FALSE())*'Set % Engine'!E$4*'Set % Engine'!E$9,5),"")</f>
        <v>180</v>
      </c>
    </row>
    <row r="16" spans="1:16" ht="15" customHeight="1" x14ac:dyDescent="0.35">
      <c r="A16" s="28" t="s">
        <v>244</v>
      </c>
      <c r="B16" s="59">
        <f>IFERROR(CEILING(HLOOKUP(B$12,$B$5:$P$6,2,FALSE())*'Set % Engine'!B$4*'Set % Engine'!B$10,5),"")</f>
        <v>205</v>
      </c>
      <c r="C16" s="59">
        <f>IFERROR(CEILING(HLOOKUP(C$12,$B$5:$P$6,2,FALSE())*'Set % Engine'!C$4*'Set % Engine'!C$10,5),"")</f>
        <v>155</v>
      </c>
      <c r="D16" s="59">
        <f>IFERROR(CEILING(HLOOKUP(D$12,$B$5:$P$6,2,FALSE())*'Set % Engine'!D$4*'Set % Engine'!D$10,5),"")</f>
        <v>190</v>
      </c>
      <c r="E16" s="59">
        <f>IFERROR(CEILING(HLOOKUP(E$12,$B$5:$P$6,2,FALSE())*'Set % Engine'!E$4*'Set % Engine'!E$10,5),"")</f>
        <v>200</v>
      </c>
    </row>
    <row r="17" spans="1:5" ht="15" customHeight="1" x14ac:dyDescent="0.35">
      <c r="A17" s="28" t="s">
        <v>245</v>
      </c>
      <c r="B17" s="58">
        <f>IFERROR(CEILING(HLOOKUP(B$12,$B$5:$P$6,2,FALSE())*'Set % Engine'!B$4*'Set % Engine'!B$11,5),"")</f>
        <v>225</v>
      </c>
      <c r="C17" s="58">
        <f>IFERROR(CEILING(HLOOKUP(C$12,$B$5:$P$6,2,FALSE())*'Set % Engine'!C$4*'Set % Engine'!C$11,5),"")</f>
        <v>160</v>
      </c>
      <c r="D17" s="58">
        <f>IFERROR(CEILING(HLOOKUP(D$12,$B$5:$P$6,2,FALSE())*'Set % Engine'!D$4*'Set % Engine'!D$11,5),"")</f>
        <v>210</v>
      </c>
      <c r="E17" s="58">
        <f>IFERROR(CEILING(HLOOKUP(E$12,$B$5:$P$6,2,FALSE())*'Set % Engine'!E$4*'Set % Engine'!E$11,5),"")</f>
        <v>205</v>
      </c>
    </row>
    <row r="18" spans="1:5" ht="23.25" customHeight="1" x14ac:dyDescent="0.35">
      <c r="A18" s="56" t="s">
        <v>283</v>
      </c>
      <c r="B18" s="57" t="s">
        <v>74</v>
      </c>
      <c r="C18" s="57" t="s">
        <v>77</v>
      </c>
      <c r="D18" s="57" t="s">
        <v>62</v>
      </c>
      <c r="E18" s="57" t="s">
        <v>74</v>
      </c>
    </row>
    <row r="19" spans="1:5" ht="15" customHeight="1" x14ac:dyDescent="0.35">
      <c r="A19" s="28" t="s">
        <v>241</v>
      </c>
      <c r="B19" s="58">
        <f>IFERROR(CEILING(HLOOKUP(B$18,$B$5:$P$6,2,FALSE())*'Set % Engine'!B$4*'Set % Engine'!B$7,5),"")</f>
        <v>80</v>
      </c>
      <c r="C19" s="58">
        <f>IFERROR(CEILING(HLOOKUP(C$18,$B$5:$P$6,2,FALSE())*'Set % Engine'!C$4*'Set % Engine'!C$7,5),"")</f>
        <v>95</v>
      </c>
      <c r="D19" s="58">
        <f>IFERROR(CEILING(HLOOKUP(D$18,$B$5:$P$6,2,FALSE())*'Set % Engine'!D$4*'Set % Engine'!D$7,5),"")</f>
        <v>95</v>
      </c>
      <c r="E19" s="58">
        <f>IFERROR(CEILING(HLOOKUP(E$18,$B$5:$P$6,2,FALSE())*'Set % Engine'!E$4*'Set % Engine'!E$7,5),"")</f>
        <v>95</v>
      </c>
    </row>
    <row r="20" spans="1:5" ht="15" customHeight="1" x14ac:dyDescent="0.35">
      <c r="A20" s="28" t="s">
        <v>242</v>
      </c>
      <c r="B20" s="59">
        <f>IFERROR(CEILING(HLOOKUP(B$18,$B$5:$P$6,2,FALSE())*'Set % Engine'!B$4*'Set % Engine'!B$8,5),"")</f>
        <v>75</v>
      </c>
      <c r="C20" s="59">
        <f>IFERROR(CEILING(HLOOKUP(C$18,$B$5:$P$6,2,FALSE())*'Set % Engine'!C$4*'Set % Engine'!C$8,5),"")</f>
        <v>85</v>
      </c>
      <c r="D20" s="59">
        <f>IFERROR(CEILING(HLOOKUP(D$18,$B$5:$P$6,2,FALSE())*'Set % Engine'!D$4*'Set % Engine'!D$8,5),"")</f>
        <v>85</v>
      </c>
      <c r="E20" s="59">
        <f>IFERROR(CEILING(HLOOKUP(E$18,$B$5:$P$6,2,FALSE())*'Set % Engine'!E$4*'Set % Engine'!E$8,5),"")</f>
        <v>85</v>
      </c>
    </row>
    <row r="21" spans="1:5" ht="15" customHeight="1" x14ac:dyDescent="0.35">
      <c r="A21" s="28" t="s">
        <v>243</v>
      </c>
      <c r="B21" s="58">
        <f>IFERROR(CEILING(HLOOKUP(B$18,$B$5:$P$6,2,FALSE())*'Set % Engine'!B$4*'Set % Engine'!B$9,5),"")</f>
        <v>65</v>
      </c>
      <c r="C21" s="58">
        <f>IFERROR(CEILING(HLOOKUP(C$18,$B$5:$P$6,2,FALSE())*'Set % Engine'!C$4*'Set % Engine'!C$9,5),"")</f>
        <v>90</v>
      </c>
      <c r="D21" s="58">
        <f>IFERROR(CEILING(HLOOKUP(D$18,$B$5:$P$6,2,FALSE())*'Set % Engine'!D$4*'Set % Engine'!D$9,5),"")</f>
        <v>75</v>
      </c>
      <c r="E21" s="58">
        <f>IFERROR(CEILING(HLOOKUP(E$18,$B$5:$P$6,2,FALSE())*'Set % Engine'!E$4*'Set % Engine'!E$9,5),"")</f>
        <v>85</v>
      </c>
    </row>
    <row r="22" spans="1:5" ht="15" customHeight="1" x14ac:dyDescent="0.35">
      <c r="A22" s="28" t="s">
        <v>244</v>
      </c>
      <c r="B22" s="59">
        <f>IFERROR(CEILING(HLOOKUP(B$18,$B$5:$P$6,2,FALSE())*'Set % Engine'!B$4*'Set % Engine'!B$10,5),"")</f>
        <v>75</v>
      </c>
      <c r="C22" s="59">
        <f>IFERROR(CEILING(HLOOKUP(C$18,$B$5:$P$6,2,FALSE())*'Set % Engine'!C$4*'Set % Engine'!C$10,5),"")</f>
        <v>90</v>
      </c>
      <c r="D22" s="59">
        <f>IFERROR(CEILING(HLOOKUP(D$18,$B$5:$P$6,2,FALSE())*'Set % Engine'!D$4*'Set % Engine'!D$10,5),"")</f>
        <v>85</v>
      </c>
      <c r="E22" s="59">
        <f>IFERROR(CEILING(HLOOKUP(E$18,$B$5:$P$6,2,FALSE())*'Set % Engine'!E$4*'Set % Engine'!E$10,5),"")</f>
        <v>95</v>
      </c>
    </row>
    <row r="23" spans="1:5" ht="15" customHeight="1" x14ac:dyDescent="0.35">
      <c r="A23" s="28" t="s">
        <v>245</v>
      </c>
      <c r="B23" s="58">
        <f>IFERROR(CEILING(HLOOKUP(B$18,$B$5:$P$6,2,FALSE())*'Set % Engine'!B$4*'Set % Engine'!B$11,5),"")</f>
        <v>80</v>
      </c>
      <c r="C23" s="58">
        <f>IFERROR(CEILING(HLOOKUP(C$18,$B$5:$P$6,2,FALSE())*'Set % Engine'!C$4*'Set % Engine'!C$11,5),"")</f>
        <v>95</v>
      </c>
      <c r="D23" s="58">
        <f>IFERROR(CEILING(HLOOKUP(D$18,$B$5:$P$6,2,FALSE())*'Set % Engine'!D$4*'Set % Engine'!D$11,5),"")</f>
        <v>90</v>
      </c>
      <c r="E23" s="58">
        <f>IFERROR(CEILING(HLOOKUP(E$18,$B$5:$P$6,2,FALSE())*'Set % Engine'!E$4*'Set % Engine'!E$11,5),"")</f>
        <v>95</v>
      </c>
    </row>
    <row r="24" spans="1:5" ht="15" customHeight="1" x14ac:dyDescent="0.35">
      <c r="A24" s="56" t="s">
        <v>283</v>
      </c>
      <c r="B24" s="57" t="s">
        <v>78</v>
      </c>
      <c r="C24" s="57" t="s">
        <v>68</v>
      </c>
      <c r="D24" s="57" t="s">
        <v>78</v>
      </c>
      <c r="E24" s="57" t="s">
        <v>58</v>
      </c>
    </row>
    <row r="25" spans="1:5" ht="15" customHeight="1" x14ac:dyDescent="0.35">
      <c r="A25" s="28" t="s">
        <v>241</v>
      </c>
      <c r="B25" s="58">
        <f>IFERROR(CEILING(HLOOKUP(B$24,$B$5:$P$6,2,FALSE())*'Set % Engine'!B$4*'Set % Engine'!B$7,5),"")</f>
        <v>120</v>
      </c>
      <c r="C25" s="58">
        <f>IFERROR(CEILING(HLOOKUP(C$24,$B$5:$P$6,2,FALSE())*'Set % Engine'!C$4*'Set % Engine'!C$7,5),"")</f>
        <v>135</v>
      </c>
      <c r="D25" s="58">
        <f>IFERROR(CEILING(HLOOKUP(D$24,$B$5:$P$6,2,FALSE())*'Set % Engine'!D$4*'Set % Engine'!D$7,5),"")</f>
        <v>110</v>
      </c>
      <c r="E25" s="58">
        <f>IFERROR(CEILING(HLOOKUP(E$24,$B$5:$P$6,2,FALSE())*'Set % Engine'!E$4*'Set % Engine'!E$7,5),"")</f>
        <v>265</v>
      </c>
    </row>
    <row r="26" spans="1:5" ht="15" customHeight="1" x14ac:dyDescent="0.35">
      <c r="A26" s="28" t="s">
        <v>242</v>
      </c>
      <c r="B26" s="59">
        <f>IFERROR(CEILING(HLOOKUP(B$24,$B$5:$P$6,2,FALSE())*'Set % Engine'!B$4*'Set % Engine'!B$8,5),"")</f>
        <v>105</v>
      </c>
      <c r="C26" s="59">
        <f>IFERROR(CEILING(HLOOKUP(C$24,$B$5:$P$6,2,FALSE())*'Set % Engine'!C$4*'Set % Engine'!C$8,5),"")</f>
        <v>120</v>
      </c>
      <c r="D26" s="59">
        <f>IFERROR(CEILING(HLOOKUP(D$24,$B$5:$P$6,2,FALSE())*'Set % Engine'!D$4*'Set % Engine'!D$8,5),"")</f>
        <v>100</v>
      </c>
      <c r="E26" s="59">
        <f>IFERROR(CEILING(HLOOKUP(E$24,$B$5:$P$6,2,FALSE())*'Set % Engine'!E$4*'Set % Engine'!E$8,5),"")</f>
        <v>235</v>
      </c>
    </row>
    <row r="27" spans="1:5" ht="15" customHeight="1" x14ac:dyDescent="0.35">
      <c r="A27" s="28" t="s">
        <v>243</v>
      </c>
      <c r="B27" s="58">
        <f>IFERROR(CEILING(HLOOKUP(B$24,$B$5:$P$6,2,FALSE())*'Set % Engine'!B$4*'Set % Engine'!B$9,5),"")</f>
        <v>95</v>
      </c>
      <c r="C27" s="58">
        <f>IFERROR(CEILING(HLOOKUP(C$24,$B$5:$P$6,2,FALSE())*'Set % Engine'!C$4*'Set % Engine'!C$9,5),"")</f>
        <v>125</v>
      </c>
      <c r="D27" s="58">
        <f>IFERROR(CEILING(HLOOKUP(D$24,$B$5:$P$6,2,FALSE())*'Set % Engine'!D$4*'Set % Engine'!D$9,5),"")</f>
        <v>90</v>
      </c>
      <c r="E27" s="58">
        <f>IFERROR(CEILING(HLOOKUP(E$24,$B$5:$P$6,2,FALSE())*'Set % Engine'!E$4*'Set % Engine'!E$9,5),"")</f>
        <v>245</v>
      </c>
    </row>
    <row r="28" spans="1:5" ht="15" customHeight="1" x14ac:dyDescent="0.35">
      <c r="A28" s="28" t="s">
        <v>244</v>
      </c>
      <c r="B28" s="59">
        <f>IFERROR(CEILING(HLOOKUP(B$24,$B$5:$P$6,2,FALSE())*'Set % Engine'!B$4*'Set % Engine'!B$10,5),"")</f>
        <v>105</v>
      </c>
      <c r="C28" s="59">
        <f>IFERROR(CEILING(HLOOKUP(C$24,$B$5:$P$6,2,FALSE())*'Set % Engine'!C$4*'Set % Engine'!C$10,5),"")</f>
        <v>130</v>
      </c>
      <c r="D28" s="59">
        <f>IFERROR(CEILING(HLOOKUP(D$24,$B$5:$P$6,2,FALSE())*'Set % Engine'!D$4*'Set % Engine'!D$10,5),"")</f>
        <v>100</v>
      </c>
      <c r="E28" s="59">
        <f>IFERROR(CEILING(HLOOKUP(E$24,$B$5:$P$6,2,FALSE())*'Set % Engine'!E$4*'Set % Engine'!E$10,5),"")</f>
        <v>265</v>
      </c>
    </row>
    <row r="29" spans="1:5" ht="15" customHeight="1" x14ac:dyDescent="0.35">
      <c r="A29" s="28" t="s">
        <v>245</v>
      </c>
      <c r="B29" s="58">
        <f>IFERROR(CEILING(HLOOKUP(B$24,$B$5:$P$6,2,FALSE())*'Set % Engine'!B$4*'Set % Engine'!B$11,5),"")</f>
        <v>115</v>
      </c>
      <c r="C29" s="58">
        <f>IFERROR(CEILING(HLOOKUP(C$24,$B$5:$P$6,2,FALSE())*'Set % Engine'!C$4*'Set % Engine'!C$11,5),"")</f>
        <v>135</v>
      </c>
      <c r="D29" s="58">
        <f>IFERROR(CEILING(HLOOKUP(D$24,$B$5:$P$6,2,FALSE())*'Set % Engine'!D$4*'Set % Engine'!D$11,5),"")</f>
        <v>110</v>
      </c>
      <c r="E29" s="58">
        <f>IFERROR(CEILING(HLOOKUP(E$24,$B$5:$P$6,2,FALSE())*'Set % Engine'!E$4*'Set % Engine'!E$11,5),"")</f>
        <v>275</v>
      </c>
    </row>
    <row r="30" spans="1:5" ht="15" customHeight="1" x14ac:dyDescent="0.35">
      <c r="A30" s="56" t="s">
        <v>284</v>
      </c>
      <c r="B30" s="57" t="s">
        <v>47</v>
      </c>
      <c r="C30" s="57" t="s">
        <v>58</v>
      </c>
      <c r="D30" s="57" t="s">
        <v>72</v>
      </c>
      <c r="E30" s="57" t="s">
        <v>78</v>
      </c>
    </row>
    <row r="31" spans="1:5" ht="15" customHeight="1" x14ac:dyDescent="0.35">
      <c r="A31" s="28" t="s">
        <v>241</v>
      </c>
      <c r="B31" s="58">
        <f>IFERROR(CEILING(HLOOKUP(B$30,$B$5:$P$6,2,FALSE())*'Set % Engine'!B$4*'Set % Engine'!B$7,5),"")</f>
        <v>170</v>
      </c>
      <c r="C31" s="58">
        <f>IFERROR(CEILING(HLOOKUP(C$30,$B$5:$P$6,2,FALSE())*'Set % Engine'!C$4*'Set % Engine'!C$7,5),"")</f>
        <v>210</v>
      </c>
      <c r="D31" s="58">
        <f>IFERROR(CEILING(HLOOKUP(D$30,$B$5:$P$6,2,FALSE())*'Set % Engine'!D$4*'Set % Engine'!D$7,5),"")</f>
        <v>130</v>
      </c>
      <c r="E31" s="58">
        <f>IFERROR(CEILING(HLOOKUP(E$30,$B$5:$P$6,2,FALSE())*'Set % Engine'!E$4*'Set % Engine'!E$7,5),"")</f>
        <v>135</v>
      </c>
    </row>
    <row r="32" spans="1:5" ht="15" customHeight="1" x14ac:dyDescent="0.35">
      <c r="A32" s="28" t="s">
        <v>242</v>
      </c>
      <c r="B32" s="59">
        <f>IFERROR(CEILING(HLOOKUP(B$30,$B$5:$P$6,2,FALSE())*'Set % Engine'!B$4*'Set % Engine'!B$8,5),"")</f>
        <v>155</v>
      </c>
      <c r="C32" s="59">
        <f>IFERROR(CEILING(HLOOKUP(C$30,$B$5:$P$6,2,FALSE())*'Set % Engine'!C$4*'Set % Engine'!C$8,5),"")</f>
        <v>190</v>
      </c>
      <c r="D32" s="59">
        <f>IFERROR(CEILING(HLOOKUP(D$30,$B$5:$P$6,2,FALSE())*'Set % Engine'!D$4*'Set % Engine'!D$8,5),"")</f>
        <v>115</v>
      </c>
      <c r="E32" s="59">
        <f>IFERROR(CEILING(HLOOKUP(E$30,$B$5:$P$6,2,FALSE())*'Set % Engine'!E$4*'Set % Engine'!E$8,5),"")</f>
        <v>120</v>
      </c>
    </row>
    <row r="33" spans="1:5" ht="15" customHeight="1" x14ac:dyDescent="0.35">
      <c r="A33" s="28" t="s">
        <v>243</v>
      </c>
      <c r="B33" s="58">
        <f>IFERROR(CEILING(HLOOKUP(B$30,$B$5:$P$6,2,FALSE())*'Set % Engine'!B$4*'Set % Engine'!B$9,5),"")</f>
        <v>140</v>
      </c>
      <c r="C33" s="58">
        <f>IFERROR(CEILING(HLOOKUP(C$30,$B$5:$P$6,2,FALSE())*'Set % Engine'!C$4*'Set % Engine'!C$9,5),"")</f>
        <v>195</v>
      </c>
      <c r="D33" s="58">
        <f>IFERROR(CEILING(HLOOKUP(D$30,$B$5:$P$6,2,FALSE())*'Set % Engine'!D$4*'Set % Engine'!D$9,5),"")</f>
        <v>105</v>
      </c>
      <c r="E33" s="58">
        <f>IFERROR(CEILING(HLOOKUP(E$30,$B$5:$P$6,2,FALSE())*'Set % Engine'!E$4*'Set % Engine'!E$9,5),"")</f>
        <v>125</v>
      </c>
    </row>
    <row r="34" spans="1:5" ht="15" customHeight="1" x14ac:dyDescent="0.35">
      <c r="A34" s="28" t="s">
        <v>244</v>
      </c>
      <c r="B34" s="59">
        <f>IFERROR(CEILING(HLOOKUP(B$30,$B$5:$P$6,2,FALSE())*'Set % Engine'!B$4*'Set % Engine'!B$10,5),"")</f>
        <v>155</v>
      </c>
      <c r="C34" s="59">
        <f>IFERROR(CEILING(HLOOKUP(C$30,$B$5:$P$6,2,FALSE())*'Set % Engine'!C$4*'Set % Engine'!C$10,5),"")</f>
        <v>205</v>
      </c>
      <c r="D34" s="59">
        <f>IFERROR(CEILING(HLOOKUP(D$30,$B$5:$P$6,2,FALSE())*'Set % Engine'!D$4*'Set % Engine'!D$10,5),"")</f>
        <v>115</v>
      </c>
      <c r="E34" s="59">
        <f>IFERROR(CEILING(HLOOKUP(E$30,$B$5:$P$6,2,FALSE())*'Set % Engine'!E$4*'Set % Engine'!E$10,5),"")</f>
        <v>135</v>
      </c>
    </row>
    <row r="35" spans="1:5" ht="15" customHeight="1" x14ac:dyDescent="0.35">
      <c r="A35" s="28" t="s">
        <v>245</v>
      </c>
      <c r="B35" s="58">
        <f>IFERROR(CEILING(HLOOKUP(B$30,$B$5:$P$6,2,FALSE())*'Set % Engine'!B$4*'Set % Engine'!B$11,5),"")</f>
        <v>170</v>
      </c>
      <c r="C35" s="58">
        <f>IFERROR(CEILING(HLOOKUP(C$30,$B$5:$P$6,2,FALSE())*'Set % Engine'!C$4*'Set % Engine'!C$11,5),"")</f>
        <v>215</v>
      </c>
      <c r="D35" s="58">
        <f>IFERROR(CEILING(HLOOKUP(D$30,$B$5:$P$6,2,FALSE())*'Set % Engine'!D$4*'Set % Engine'!D$11,5),"")</f>
        <v>130</v>
      </c>
      <c r="E35" s="58">
        <f>IFERROR(CEILING(HLOOKUP(E$30,$B$5:$P$6,2,FALSE())*'Set % Engine'!E$4*'Set % Engine'!E$11,5),"")</f>
        <v>140</v>
      </c>
    </row>
    <row r="36" spans="1:5" ht="23.25" customHeight="1" x14ac:dyDescent="0.35">
      <c r="A36" s="56" t="s">
        <v>284</v>
      </c>
      <c r="B36" s="57" t="s">
        <v>62</v>
      </c>
      <c r="C36" s="57" t="s">
        <v>62</v>
      </c>
      <c r="D36" s="57" t="s">
        <v>74</v>
      </c>
      <c r="E36" s="57" t="s">
        <v>70</v>
      </c>
    </row>
    <row r="37" spans="1:5" ht="15" customHeight="1" x14ac:dyDescent="0.35">
      <c r="A37" s="28" t="s">
        <v>241</v>
      </c>
      <c r="B37" s="58">
        <f>IFERROR(CEILING(HLOOKUP(B$36,$B$5:$P$6,2,FALSE())*'Set % Engine'!B$4*'Set % Engine'!B$7,5),"")</f>
        <v>100</v>
      </c>
      <c r="C37" s="58">
        <f>IFERROR(CEILING(HLOOKUP(C$36,$B$5:$P$6,2,FALSE())*'Set % Engine'!C$4*'Set % Engine'!C$7,5),"")</f>
        <v>90</v>
      </c>
      <c r="D37" s="58">
        <f>IFERROR(CEILING(HLOOKUP(D$36,$B$5:$P$6,2,FALSE())*'Set % Engine'!D$4*'Set % Engine'!D$7,5),"")</f>
        <v>75</v>
      </c>
      <c r="E37" s="58">
        <f>IFERROR(CEILING(HLOOKUP(E$36,$B$5:$P$6,2,FALSE())*'Set % Engine'!E$4*'Set % Engine'!E$7,5),"")</f>
        <v>215</v>
      </c>
    </row>
    <row r="38" spans="1:5" ht="15" customHeight="1" x14ac:dyDescent="0.35">
      <c r="A38" s="28" t="s">
        <v>242</v>
      </c>
      <c r="B38" s="59">
        <f>IFERROR(CEILING(HLOOKUP(B$36,$B$5:$P$6,2,FALSE())*'Set % Engine'!B$4*'Set % Engine'!B$8,5),"")</f>
        <v>90</v>
      </c>
      <c r="C38" s="59">
        <f>IFERROR(CEILING(HLOOKUP(C$36,$B$5:$P$6,2,FALSE())*'Set % Engine'!C$4*'Set % Engine'!C$8,5),"")</f>
        <v>85</v>
      </c>
      <c r="D38" s="59">
        <f>IFERROR(CEILING(HLOOKUP(D$36,$B$5:$P$6,2,FALSE())*'Set % Engine'!D$4*'Set % Engine'!D$8,5),"")</f>
        <v>70</v>
      </c>
      <c r="E38" s="59">
        <f>IFERROR(CEILING(HLOOKUP(E$36,$B$5:$P$6,2,FALSE())*'Set % Engine'!E$4*'Set % Engine'!E$8,5),"")</f>
        <v>190</v>
      </c>
    </row>
    <row r="39" spans="1:5" ht="15" customHeight="1" x14ac:dyDescent="0.35">
      <c r="A39" s="28" t="s">
        <v>243</v>
      </c>
      <c r="B39" s="58">
        <f>IFERROR(CEILING(HLOOKUP(B$36,$B$5:$P$6,2,FALSE())*'Set % Engine'!B$4*'Set % Engine'!B$9,5),"")</f>
        <v>80</v>
      </c>
      <c r="C39" s="58">
        <f>IFERROR(CEILING(HLOOKUP(C$36,$B$5:$P$6,2,FALSE())*'Set % Engine'!C$4*'Set % Engine'!C$9,5),"")</f>
        <v>85</v>
      </c>
      <c r="D39" s="58">
        <f>IFERROR(CEILING(HLOOKUP(D$36,$B$5:$P$6,2,FALSE())*'Set % Engine'!D$4*'Set % Engine'!D$9,5),"")</f>
        <v>60</v>
      </c>
      <c r="E39" s="58">
        <f>IFERROR(CEILING(HLOOKUP(E$36,$B$5:$P$6,2,FALSE())*'Set % Engine'!E$4*'Set % Engine'!E$9,5),"")</f>
        <v>195</v>
      </c>
    </row>
    <row r="40" spans="1:5" ht="15" customHeight="1" x14ac:dyDescent="0.35">
      <c r="A40" s="28" t="s">
        <v>244</v>
      </c>
      <c r="B40" s="59">
        <f>IFERROR(CEILING(HLOOKUP(B$36,$B$5:$P$6,2,FALSE())*'Set % Engine'!B$4*'Set % Engine'!B$10,5),"")</f>
        <v>90</v>
      </c>
      <c r="C40" s="59">
        <f>IFERROR(CEILING(HLOOKUP(C$36,$B$5:$P$6,2,FALSE())*'Set % Engine'!C$4*'Set % Engine'!C$10,5),"")</f>
        <v>90</v>
      </c>
      <c r="D40" s="59">
        <f>IFERROR(CEILING(HLOOKUP(D$36,$B$5:$P$6,2,FALSE())*'Set % Engine'!D$4*'Set % Engine'!D$10,5),"")</f>
        <v>70</v>
      </c>
      <c r="E40" s="59">
        <f>IFERROR(CEILING(HLOOKUP(E$36,$B$5:$P$6,2,FALSE())*'Set % Engine'!E$4*'Set % Engine'!E$10,5),"")</f>
        <v>215</v>
      </c>
    </row>
    <row r="41" spans="1:5" ht="15" customHeight="1" x14ac:dyDescent="0.35">
      <c r="A41" s="28" t="s">
        <v>245</v>
      </c>
      <c r="B41" s="58">
        <f>IFERROR(CEILING(HLOOKUP(B$36,$B$5:$P$6,2,FALSE())*'Set % Engine'!B$4*'Set % Engine'!B$11,5),"")</f>
        <v>100</v>
      </c>
      <c r="C41" s="58">
        <f>IFERROR(CEILING(HLOOKUP(C$36,$B$5:$P$6,2,FALSE())*'Set % Engine'!C$4*'Set % Engine'!C$11,5),"")</f>
        <v>95</v>
      </c>
      <c r="D41" s="58">
        <f>IFERROR(CEILING(HLOOKUP(D$36,$B$5:$P$6,2,FALSE())*'Set % Engine'!D$4*'Set % Engine'!D$11,5),"")</f>
        <v>75</v>
      </c>
      <c r="E41" s="58">
        <f>IFERROR(CEILING(HLOOKUP(E$36,$B$5:$P$6,2,FALSE())*'Set % Engine'!E$4*'Set % Engine'!E$11,5),"")</f>
        <v>220</v>
      </c>
    </row>
    <row r="42" spans="1:5" ht="15" customHeight="1" x14ac:dyDescent="0.35">
      <c r="A42" s="56" t="s">
        <v>285</v>
      </c>
      <c r="B42" s="57" t="s">
        <v>47</v>
      </c>
      <c r="C42" s="57" t="s">
        <v>53</v>
      </c>
      <c r="D42" s="57" t="s">
        <v>77</v>
      </c>
      <c r="E42" s="57" t="s">
        <v>68</v>
      </c>
    </row>
    <row r="43" spans="1:5" ht="15" customHeight="1" x14ac:dyDescent="0.35">
      <c r="A43" s="28" t="s">
        <v>241</v>
      </c>
      <c r="B43" s="58">
        <f>IFERROR(CEILING(HLOOKUP(B$42,$B$5:$P$6,2,FALSE())*'Set % Engine'!B$4*'Set % Engine'!B$7,5),"")</f>
        <v>170</v>
      </c>
      <c r="C43" s="58">
        <f>IFERROR(CEILING(HLOOKUP(C$42,$B$5:$P$6,2,FALSE())*'Set % Engine'!C$4*'Set % Engine'!C$7,5),"")</f>
        <v>140</v>
      </c>
      <c r="D43" s="58">
        <f>IFERROR(CEILING(HLOOKUP(D$42,$B$5:$P$6,2,FALSE())*'Set % Engine'!D$4*'Set % Engine'!D$7,5),"")</f>
        <v>95</v>
      </c>
      <c r="E43" s="58">
        <f>IFERROR(CEILING(HLOOKUP(E$42,$B$5:$P$6,2,FALSE())*'Set % Engine'!E$4*'Set % Engine'!E$7,5),"")</f>
        <v>170</v>
      </c>
    </row>
    <row r="44" spans="1:5" ht="15" customHeight="1" x14ac:dyDescent="0.35">
      <c r="A44" s="28" t="s">
        <v>242</v>
      </c>
      <c r="B44" s="59">
        <f>IFERROR(CEILING(HLOOKUP(B$42,$B$5:$P$6,2,FALSE())*'Set % Engine'!B$4*'Set % Engine'!B$8,5),"")</f>
        <v>155</v>
      </c>
      <c r="C44" s="59">
        <f>IFERROR(CEILING(HLOOKUP(C$42,$B$5:$P$6,2,FALSE())*'Set % Engine'!C$4*'Set % Engine'!C$8,5),"")</f>
        <v>130</v>
      </c>
      <c r="D44" s="59">
        <f>IFERROR(CEILING(HLOOKUP(D$42,$B$5:$P$6,2,FALSE())*'Set % Engine'!D$4*'Set % Engine'!D$8,5),"")</f>
        <v>85</v>
      </c>
      <c r="E44" s="59">
        <f>IFERROR(CEILING(HLOOKUP(E$42,$B$5:$P$6,2,FALSE())*'Set % Engine'!E$4*'Set % Engine'!E$8,5),"")</f>
        <v>150</v>
      </c>
    </row>
    <row r="45" spans="1:5" ht="15" customHeight="1" x14ac:dyDescent="0.35">
      <c r="A45" s="28" t="s">
        <v>243</v>
      </c>
      <c r="B45" s="58">
        <f>IFERROR(CEILING(HLOOKUP(B$42,$B$5:$P$6,2,FALSE())*'Set % Engine'!B$4*'Set % Engine'!B$9,5),"")</f>
        <v>140</v>
      </c>
      <c r="C45" s="58">
        <f>IFERROR(CEILING(HLOOKUP(C$42,$B$5:$P$6,2,FALSE())*'Set % Engine'!C$4*'Set % Engine'!C$9,5),"")</f>
        <v>130</v>
      </c>
      <c r="D45" s="58">
        <f>IFERROR(CEILING(HLOOKUP(D$42,$B$5:$P$6,2,FALSE())*'Set % Engine'!D$4*'Set % Engine'!D$9,5),"")</f>
        <v>80</v>
      </c>
      <c r="E45" s="58">
        <f>IFERROR(CEILING(HLOOKUP(E$42,$B$5:$P$6,2,FALSE())*'Set % Engine'!E$4*'Set % Engine'!E$9,5),"")</f>
        <v>155</v>
      </c>
    </row>
    <row r="46" spans="1:5" ht="15" customHeight="1" x14ac:dyDescent="0.35">
      <c r="A46" s="28" t="s">
        <v>244</v>
      </c>
      <c r="B46" s="59">
        <f>IFERROR(CEILING(HLOOKUP(B$42,$B$5:$P$6,2,FALSE())*'Set % Engine'!B$4*'Set % Engine'!B$10,5),"")</f>
        <v>155</v>
      </c>
      <c r="C46" s="59">
        <f>IFERROR(CEILING(HLOOKUP(C$42,$B$5:$P$6,2,FALSE())*'Set % Engine'!C$4*'Set % Engine'!C$10,5),"")</f>
        <v>135</v>
      </c>
      <c r="D46" s="59">
        <f>IFERROR(CEILING(HLOOKUP(D$42,$B$5:$P$6,2,FALSE())*'Set % Engine'!D$4*'Set % Engine'!D$10,5),"")</f>
        <v>85</v>
      </c>
      <c r="E46" s="59">
        <f>IFERROR(CEILING(HLOOKUP(E$42,$B$5:$P$6,2,FALSE())*'Set % Engine'!E$4*'Set % Engine'!E$10,5),"")</f>
        <v>170</v>
      </c>
    </row>
    <row r="47" spans="1:5" ht="15" customHeight="1" x14ac:dyDescent="0.35">
      <c r="A47" s="28" t="s">
        <v>245</v>
      </c>
      <c r="B47" s="58">
        <f>IFERROR(CEILING(HLOOKUP(B$42,$B$5:$P$6,2,FALSE())*'Set % Engine'!B$4*'Set % Engine'!B$11,5),"")</f>
        <v>170</v>
      </c>
      <c r="C47" s="58">
        <f>IFERROR(CEILING(HLOOKUP(C$42,$B$5:$P$6,2,FALSE())*'Set % Engine'!C$4*'Set % Engine'!C$11,5),"")</f>
        <v>145</v>
      </c>
      <c r="D47" s="58">
        <f>IFERROR(CEILING(HLOOKUP(D$42,$B$5:$P$6,2,FALSE())*'Set % Engine'!D$4*'Set % Engine'!D$11,5),"")</f>
        <v>95</v>
      </c>
      <c r="E47" s="58">
        <f>IFERROR(CEILING(HLOOKUP(E$42,$B$5:$P$6,2,FALSE())*'Set % Engine'!E$4*'Set % Engine'!E$11,5),"")</f>
        <v>175</v>
      </c>
    </row>
    <row r="48" spans="1:5" ht="15" customHeight="1" x14ac:dyDescent="0.35">
      <c r="A48" s="56" t="s">
        <v>285</v>
      </c>
      <c r="B48" s="57" t="s">
        <v>70</v>
      </c>
      <c r="C48" s="57" t="s">
        <v>73</v>
      </c>
      <c r="D48" s="57" t="s">
        <v>62</v>
      </c>
      <c r="E48" s="57" t="s">
        <v>53</v>
      </c>
    </row>
    <row r="49" spans="1:5" ht="15" customHeight="1" x14ac:dyDescent="0.35">
      <c r="A49" s="28" t="s">
        <v>241</v>
      </c>
      <c r="B49" s="58">
        <f>IFERROR(CEILING(HLOOKUP(B$48,$B$5:$P$6,2,FALSE())*'Set % Engine'!B$4*'Set % Engine'!B$7,5),"")</f>
        <v>185</v>
      </c>
      <c r="C49" s="58">
        <f>IFERROR(CEILING(HLOOKUP(C$48,$B$5:$P$6,2,FALSE())*'Set % Engine'!C$4*'Set % Engine'!C$7,5),"")</f>
        <v>115</v>
      </c>
      <c r="D49" s="58">
        <f>IFERROR(CEILING(HLOOKUP(D$48,$B$5:$P$6,2,FALSE())*'Set % Engine'!D$4*'Set % Engine'!D$7,5),"")</f>
        <v>95</v>
      </c>
      <c r="E49" s="58">
        <f>IFERROR(CEILING(HLOOKUP(E$48,$B$5:$P$6,2,FALSE())*'Set % Engine'!E$4*'Set % Engine'!E$7,5),"")</f>
        <v>175</v>
      </c>
    </row>
    <row r="50" spans="1:5" ht="15" customHeight="1" x14ac:dyDescent="0.35">
      <c r="A50" s="28" t="s">
        <v>242</v>
      </c>
      <c r="B50" s="59">
        <f>IFERROR(CEILING(HLOOKUP(B$48,$B$5:$P$6,2,FALSE())*'Set % Engine'!B$4*'Set % Engine'!B$8,5),"")</f>
        <v>170</v>
      </c>
      <c r="C50" s="59">
        <f>IFERROR(CEILING(HLOOKUP(C$48,$B$5:$P$6,2,FALSE())*'Set % Engine'!C$4*'Set % Engine'!C$8,5),"")</f>
        <v>105</v>
      </c>
      <c r="D50" s="59">
        <f>IFERROR(CEILING(HLOOKUP(D$48,$B$5:$P$6,2,FALSE())*'Set % Engine'!D$4*'Set % Engine'!D$8,5),"")</f>
        <v>85</v>
      </c>
      <c r="E50" s="59">
        <f>IFERROR(CEILING(HLOOKUP(E$48,$B$5:$P$6,2,FALSE())*'Set % Engine'!E$4*'Set % Engine'!E$8,5),"")</f>
        <v>160</v>
      </c>
    </row>
    <row r="51" spans="1:5" ht="15" customHeight="1" x14ac:dyDescent="0.35">
      <c r="A51" s="28" t="s">
        <v>243</v>
      </c>
      <c r="B51" s="58">
        <f>IFERROR(CEILING(HLOOKUP(B$48,$B$5:$P$6,2,FALSE())*'Set % Engine'!B$4*'Set % Engine'!B$9,5),"")</f>
        <v>150</v>
      </c>
      <c r="C51" s="58">
        <f>IFERROR(CEILING(HLOOKUP(C$48,$B$5:$P$6,2,FALSE())*'Set % Engine'!C$4*'Set % Engine'!C$9,5),"")</f>
        <v>105</v>
      </c>
      <c r="D51" s="58">
        <f>IFERROR(CEILING(HLOOKUP(D$48,$B$5:$P$6,2,FALSE())*'Set % Engine'!D$4*'Set % Engine'!D$9,5),"")</f>
        <v>75</v>
      </c>
      <c r="E51" s="58">
        <f>IFERROR(CEILING(HLOOKUP(E$48,$B$5:$P$6,2,FALSE())*'Set % Engine'!E$4*'Set % Engine'!E$9,5),"")</f>
        <v>165</v>
      </c>
    </row>
    <row r="52" spans="1:5" ht="15" customHeight="1" x14ac:dyDescent="0.35">
      <c r="A52" s="28" t="s">
        <v>244</v>
      </c>
      <c r="B52" s="59">
        <f>IFERROR(CEILING(HLOOKUP(B$48,$B$5:$P$6,2,FALSE())*'Set % Engine'!B$4*'Set % Engine'!B$10,5),"")</f>
        <v>165</v>
      </c>
      <c r="C52" s="59">
        <f>IFERROR(CEILING(HLOOKUP(C$48,$B$5:$P$6,2,FALSE())*'Set % Engine'!C$4*'Set % Engine'!C$10,5),"")</f>
        <v>110</v>
      </c>
      <c r="D52" s="59">
        <f>IFERROR(CEILING(HLOOKUP(D$48,$B$5:$P$6,2,FALSE())*'Set % Engine'!D$4*'Set % Engine'!D$10,5),"")</f>
        <v>85</v>
      </c>
      <c r="E52" s="59">
        <f>IFERROR(CEILING(HLOOKUP(E$48,$B$5:$P$6,2,FALSE())*'Set % Engine'!E$4*'Set % Engine'!E$10,5),"")</f>
        <v>180</v>
      </c>
    </row>
    <row r="53" spans="1:5" ht="15" customHeight="1" x14ac:dyDescent="0.35">
      <c r="A53" s="28" t="s">
        <v>245</v>
      </c>
      <c r="B53" s="58">
        <f>IFERROR(CEILING(HLOOKUP(B$48,$B$5:$P$6,2,FALSE())*'Set % Engine'!B$4*'Set % Engine'!B$11,5),"")</f>
        <v>180</v>
      </c>
      <c r="C53" s="58">
        <f>IFERROR(CEILING(HLOOKUP(C$48,$B$5:$P$6,2,FALSE())*'Set % Engine'!C$4*'Set % Engine'!C$11,5),"")</f>
        <v>115</v>
      </c>
      <c r="D53" s="58">
        <f>IFERROR(CEILING(HLOOKUP(D$48,$B$5:$P$6,2,FALSE())*'Set % Engine'!D$4*'Set % Engine'!D$11,5),"")</f>
        <v>90</v>
      </c>
      <c r="E53" s="58">
        <f>IFERROR(CEILING(HLOOKUP(E$48,$B$5:$P$6,2,FALSE())*'Set % Engine'!E$4*'Set % Engine'!E$11,5),"")</f>
        <v>185</v>
      </c>
    </row>
    <row r="54" spans="1:5" ht="15" customHeight="1" x14ac:dyDescent="0.35">
      <c r="A54" s="56" t="s">
        <v>286</v>
      </c>
      <c r="B54" s="57" t="s">
        <v>62</v>
      </c>
      <c r="C54" s="57" t="s">
        <v>76</v>
      </c>
      <c r="D54" s="57" t="s">
        <v>47</v>
      </c>
      <c r="E54" s="57" t="s">
        <v>47</v>
      </c>
    </row>
    <row r="55" spans="1:5" ht="15" customHeight="1" x14ac:dyDescent="0.35">
      <c r="A55" s="28" t="s">
        <v>241</v>
      </c>
      <c r="B55" s="58">
        <f>IFERROR(CEILING(HLOOKUP(B$54,$B$5:$P$6,2,FALSE())*'Set % Engine'!B$4*'Set % Engine'!B$7,5),"")</f>
        <v>100</v>
      </c>
      <c r="C55" s="58">
        <f>IFERROR(CEILING(HLOOKUP(C$54,$B$5:$P$6,2,FALSE())*'Set % Engine'!C$4*'Set % Engine'!C$7,5),"")</f>
        <v>115</v>
      </c>
      <c r="D55" s="58">
        <f>IFERROR(CEILING(HLOOKUP(D$54,$B$5:$P$6,2,FALSE())*'Set % Engine'!D$4*'Set % Engine'!D$7,5),"")</f>
        <v>160</v>
      </c>
      <c r="E55" s="58">
        <f>IFERROR(CEILING(HLOOKUP(E$54,$B$5:$P$6,2,FALSE())*'Set % Engine'!E$4*'Set % Engine'!E$7,5),"")</f>
        <v>195</v>
      </c>
    </row>
    <row r="56" spans="1:5" ht="15" customHeight="1" x14ac:dyDescent="0.35">
      <c r="A56" s="28" t="s">
        <v>242</v>
      </c>
      <c r="B56" s="59">
        <f>IFERROR(CEILING(HLOOKUP(B$54,$B$5:$P$6,2,FALSE())*'Set % Engine'!B$4*'Set % Engine'!B$8,5),"")</f>
        <v>90</v>
      </c>
      <c r="C56" s="59">
        <f>IFERROR(CEILING(HLOOKUP(C$54,$B$5:$P$6,2,FALSE())*'Set % Engine'!C$4*'Set % Engine'!C$8,5),"")</f>
        <v>105</v>
      </c>
      <c r="D56" s="59">
        <f>IFERROR(CEILING(HLOOKUP(D$54,$B$5:$P$6,2,FALSE())*'Set % Engine'!D$4*'Set % Engine'!D$8,5),"")</f>
        <v>145</v>
      </c>
      <c r="E56" s="59">
        <f>IFERROR(CEILING(HLOOKUP(E$54,$B$5:$P$6,2,FALSE())*'Set % Engine'!E$4*'Set % Engine'!E$8,5),"")</f>
        <v>175</v>
      </c>
    </row>
    <row r="57" spans="1:5" ht="15" customHeight="1" x14ac:dyDescent="0.35">
      <c r="A57" s="28" t="s">
        <v>243</v>
      </c>
      <c r="B57" s="58">
        <f>IFERROR(CEILING(HLOOKUP(B$54,$B$5:$P$6,2,FALSE())*'Set % Engine'!B$4*'Set % Engine'!B$9,5),"")</f>
        <v>80</v>
      </c>
      <c r="C57" s="58">
        <f>IFERROR(CEILING(HLOOKUP(C$54,$B$5:$P$6,2,FALSE())*'Set % Engine'!C$4*'Set % Engine'!C$9,5),"")</f>
        <v>105</v>
      </c>
      <c r="D57" s="58">
        <f>IFERROR(CEILING(HLOOKUP(D$54,$B$5:$P$6,2,FALSE())*'Set % Engine'!D$4*'Set % Engine'!D$9,5),"")</f>
        <v>130</v>
      </c>
      <c r="E57" s="58">
        <f>IFERROR(CEILING(HLOOKUP(E$54,$B$5:$P$6,2,FALSE())*'Set % Engine'!E$4*'Set % Engine'!E$9,5),"")</f>
        <v>180</v>
      </c>
    </row>
    <row r="58" spans="1:5" ht="15" customHeight="1" x14ac:dyDescent="0.35">
      <c r="A58" s="28" t="s">
        <v>244</v>
      </c>
      <c r="B58" s="59">
        <f>IFERROR(CEILING(HLOOKUP(B$54,$B$5:$P$6,2,FALSE())*'Set % Engine'!B$4*'Set % Engine'!B$10,5),"")</f>
        <v>90</v>
      </c>
      <c r="C58" s="59">
        <f>IFERROR(CEILING(HLOOKUP(C$54,$B$5:$P$6,2,FALSE())*'Set % Engine'!C$4*'Set % Engine'!C$10,5),"")</f>
        <v>110</v>
      </c>
      <c r="D58" s="59">
        <f>IFERROR(CEILING(HLOOKUP(D$54,$B$5:$P$6,2,FALSE())*'Set % Engine'!D$4*'Set % Engine'!D$10,5),"")</f>
        <v>145</v>
      </c>
      <c r="E58" s="59">
        <f>IFERROR(CEILING(HLOOKUP(E$54,$B$5:$P$6,2,FALSE())*'Set % Engine'!E$4*'Set % Engine'!E$10,5),"")</f>
        <v>200</v>
      </c>
    </row>
    <row r="59" spans="1:5" ht="15" customHeight="1" x14ac:dyDescent="0.35">
      <c r="A59" s="28" t="s">
        <v>245</v>
      </c>
      <c r="B59" s="58">
        <f>IFERROR(CEILING(HLOOKUP(B$54,$B$5:$P$6,2,FALSE())*'Set % Engine'!B$4*'Set % Engine'!B$11,5),"")</f>
        <v>100</v>
      </c>
      <c r="C59" s="58">
        <f>IFERROR(CEILING(HLOOKUP(C$54,$B$5:$P$6,2,FALSE())*'Set % Engine'!C$4*'Set % Engine'!C$11,5),"")</f>
        <v>115</v>
      </c>
      <c r="D59" s="58">
        <f>IFERROR(CEILING(HLOOKUP(D$54,$B$5:$P$6,2,FALSE())*'Set % Engine'!D$4*'Set % Engine'!D$11,5),"")</f>
        <v>155</v>
      </c>
      <c r="E59" s="58">
        <f>IFERROR(CEILING(HLOOKUP(E$54,$B$5:$P$6,2,FALSE())*'Set % Engine'!E$4*'Set % Engine'!E$11,5),"")</f>
        <v>205</v>
      </c>
    </row>
    <row r="60" spans="1:5" ht="23.25" customHeight="1" x14ac:dyDescent="0.35">
      <c r="A60" s="56" t="s">
        <v>286</v>
      </c>
      <c r="B60" s="57" t="s">
        <v>78</v>
      </c>
      <c r="C60" s="57" t="s">
        <v>47</v>
      </c>
      <c r="D60" s="57" t="s">
        <v>79</v>
      </c>
      <c r="E60" s="57" t="s">
        <v>74</v>
      </c>
    </row>
    <row r="61" spans="1:5" ht="15" customHeight="1" x14ac:dyDescent="0.35">
      <c r="A61" s="28" t="s">
        <v>241</v>
      </c>
      <c r="B61" s="58">
        <f>IFERROR(CEILING(HLOOKUP(B$60,$B$5:$P$6,2,FALSE())*'Set % Engine'!B$4*'Set % Engine'!B$7,5),"")</f>
        <v>120</v>
      </c>
      <c r="C61" s="58">
        <f>IFERROR(CEILING(HLOOKUP(C$60,$B$5:$P$6,2,FALSE())*'Set % Engine'!C$4*'Set % Engine'!C$7,5),"")</f>
        <v>160</v>
      </c>
      <c r="D61" s="58">
        <f>IFERROR(CEILING(HLOOKUP(D$60,$B$5:$P$6,2,FALSE())*'Set % Engine'!D$4*'Set % Engine'!D$7,5),"")</f>
        <v>70</v>
      </c>
      <c r="E61" s="58">
        <f>IFERROR(CEILING(HLOOKUP(E$60,$B$5:$P$6,2,FALSE())*'Set % Engine'!E$4*'Set % Engine'!E$7,5),"")</f>
        <v>95</v>
      </c>
    </row>
    <row r="62" spans="1:5" ht="15" customHeight="1" x14ac:dyDescent="0.35">
      <c r="A62" s="28" t="s">
        <v>242</v>
      </c>
      <c r="B62" s="59">
        <f>IFERROR(CEILING(HLOOKUP(B$60,$B$5:$P$6,2,FALSE())*'Set % Engine'!B$4*'Set % Engine'!B$8,5),"")</f>
        <v>105</v>
      </c>
      <c r="C62" s="59">
        <f>IFERROR(CEILING(HLOOKUP(C$60,$B$5:$P$6,2,FALSE())*'Set % Engine'!C$4*'Set % Engine'!C$8,5),"")</f>
        <v>145</v>
      </c>
      <c r="D62" s="59">
        <f>IFERROR(CEILING(HLOOKUP(D$60,$B$5:$P$6,2,FALSE())*'Set % Engine'!D$4*'Set % Engine'!D$8,5),"")</f>
        <v>65</v>
      </c>
      <c r="E62" s="59">
        <f>IFERROR(CEILING(HLOOKUP(E$60,$B$5:$P$6,2,FALSE())*'Set % Engine'!E$4*'Set % Engine'!E$8,5),"")</f>
        <v>85</v>
      </c>
    </row>
    <row r="63" spans="1:5" ht="15" customHeight="1" x14ac:dyDescent="0.35">
      <c r="A63" s="28" t="s">
        <v>243</v>
      </c>
      <c r="B63" s="58">
        <f>IFERROR(CEILING(HLOOKUP(B$60,$B$5:$P$6,2,FALSE())*'Set % Engine'!B$4*'Set % Engine'!B$9,5),"")</f>
        <v>95</v>
      </c>
      <c r="C63" s="58">
        <f>IFERROR(CEILING(HLOOKUP(C$60,$B$5:$P$6,2,FALSE())*'Set % Engine'!C$4*'Set % Engine'!C$9,5),"")</f>
        <v>145</v>
      </c>
      <c r="D63" s="58">
        <f>IFERROR(CEILING(HLOOKUP(D$60,$B$5:$P$6,2,FALSE())*'Set % Engine'!D$4*'Set % Engine'!D$9,5),"")</f>
        <v>55</v>
      </c>
      <c r="E63" s="58">
        <f>IFERROR(CEILING(HLOOKUP(E$60,$B$5:$P$6,2,FALSE())*'Set % Engine'!E$4*'Set % Engine'!E$9,5),"")</f>
        <v>85</v>
      </c>
    </row>
    <row r="64" spans="1:5" ht="15" customHeight="1" x14ac:dyDescent="0.35">
      <c r="A64" s="28" t="s">
        <v>244</v>
      </c>
      <c r="B64" s="59">
        <f>IFERROR(CEILING(HLOOKUP(B$60,$B$5:$P$6,2,FALSE())*'Set % Engine'!B$4*'Set % Engine'!B$10,5),"")</f>
        <v>105</v>
      </c>
      <c r="C64" s="59">
        <f>IFERROR(CEILING(HLOOKUP(C$60,$B$5:$P$6,2,FALSE())*'Set % Engine'!C$4*'Set % Engine'!C$10,5),"")</f>
        <v>155</v>
      </c>
      <c r="D64" s="59">
        <f>IFERROR(CEILING(HLOOKUP(D$60,$B$5:$P$6,2,FALSE())*'Set % Engine'!D$4*'Set % Engine'!D$10,5),"")</f>
        <v>60</v>
      </c>
      <c r="E64" s="59">
        <f>IFERROR(CEILING(HLOOKUP(E$60,$B$5:$P$6,2,FALSE())*'Set % Engine'!E$4*'Set % Engine'!E$10,5),"")</f>
        <v>95</v>
      </c>
    </row>
    <row r="65" spans="1:5" ht="15" customHeight="1" x14ac:dyDescent="0.35">
      <c r="A65" s="28" t="s">
        <v>245</v>
      </c>
      <c r="B65" s="58">
        <f>IFERROR(CEILING(HLOOKUP(B$60,$B$5:$P$6,2,FALSE())*'Set % Engine'!B$4*'Set % Engine'!B$11,5),"")</f>
        <v>115</v>
      </c>
      <c r="C65" s="58">
        <f>IFERROR(CEILING(HLOOKUP(C$60,$B$5:$P$6,2,FALSE())*'Set % Engine'!C$4*'Set % Engine'!C$11,5),"")</f>
        <v>160</v>
      </c>
      <c r="D65" s="58">
        <f>IFERROR(CEILING(HLOOKUP(D$60,$B$5:$P$6,2,FALSE())*'Set % Engine'!D$4*'Set % Engine'!D$11,5),"")</f>
        <v>70</v>
      </c>
      <c r="E65" s="58">
        <f>IFERROR(CEILING(HLOOKUP(E$60,$B$5:$P$6,2,FALSE())*'Set % Engine'!E$4*'Set % Engine'!E$11,5),"")</f>
        <v>95</v>
      </c>
    </row>
    <row r="67" spans="1:5" ht="15" customHeight="1" x14ac:dyDescent="0.35">
      <c r="A67" s="33" t="s">
        <v>287</v>
      </c>
    </row>
    <row r="68" spans="1:5" ht="30" customHeight="1" x14ac:dyDescent="0.35">
      <c r="A68" s="28" t="s">
        <v>283</v>
      </c>
      <c r="B68" s="60" t="s">
        <v>288</v>
      </c>
      <c r="C68" s="60" t="s">
        <v>289</v>
      </c>
      <c r="D68" s="60" t="s">
        <v>290</v>
      </c>
      <c r="E68" s="60" t="s">
        <v>291</v>
      </c>
    </row>
    <row r="69" spans="1:5" ht="30" customHeight="1" x14ac:dyDescent="0.35">
      <c r="A69" s="28" t="s">
        <v>284</v>
      </c>
      <c r="B69" s="60" t="s">
        <v>292</v>
      </c>
      <c r="C69" s="60" t="s">
        <v>293</v>
      </c>
      <c r="D69" s="60" t="s">
        <v>294</v>
      </c>
      <c r="E69" s="60" t="s">
        <v>295</v>
      </c>
    </row>
    <row r="70" spans="1:5" ht="30" customHeight="1" x14ac:dyDescent="0.35">
      <c r="A70" s="28" t="s">
        <v>285</v>
      </c>
      <c r="B70" s="60" t="s">
        <v>296</v>
      </c>
      <c r="C70" s="60" t="s">
        <v>297</v>
      </c>
      <c r="D70" s="60" t="s">
        <v>298</v>
      </c>
      <c r="E70" s="60" t="s">
        <v>299</v>
      </c>
    </row>
    <row r="71" spans="1:5" ht="30" customHeight="1" x14ac:dyDescent="0.35">
      <c r="A71" s="28" t="s">
        <v>286</v>
      </c>
      <c r="B71" s="60" t="s">
        <v>300</v>
      </c>
      <c r="C71" s="60" t="s">
        <v>301</v>
      </c>
      <c r="D71" s="60" t="s">
        <v>302</v>
      </c>
      <c r="E71" s="60" t="s">
        <v>303</v>
      </c>
    </row>
  </sheetData>
  <dataValidations count="2">
    <dataValidation type="list" allowBlank="1" sqref="B3" xr:uid="{00000000-0002-0000-0B00-000000000000}">
      <formula1>MaxNames</formula1>
      <formula2>0</formula2>
    </dataValidation>
    <dataValidation type="list" allowBlank="1" sqref="B12:E12 B18:E18 B24:E24 B30:E30 B36:E36 B42:E42 B48:E48 B54:E54 B60:E60" xr:uid="{00000000-0002-0000-0B00-000001000000}">
      <formula1>LiftsList</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9"/>
  <sheetViews>
    <sheetView zoomScaleNormal="100" workbookViewId="0"/>
  </sheetViews>
  <sheetFormatPr defaultColWidth="8.6328125" defaultRowHeight="14.5" x14ac:dyDescent="0.35"/>
  <cols>
    <col min="1" max="1" width="14" style="1" customWidth="1"/>
    <col min="2" max="7" width="22" style="1" customWidth="1"/>
  </cols>
  <sheetData>
    <row r="1" spans="1:7" ht="17.25" customHeight="1" x14ac:dyDescent="0.4">
      <c r="A1" s="25" t="s">
        <v>304</v>
      </c>
    </row>
    <row r="3" spans="1:7" ht="15" customHeight="1" x14ac:dyDescent="0.35">
      <c r="A3" s="42" t="s">
        <v>305</v>
      </c>
      <c r="B3" s="42" t="s">
        <v>306</v>
      </c>
      <c r="C3" s="42" t="s">
        <v>307</v>
      </c>
      <c r="D3" s="42" t="s">
        <v>308</v>
      </c>
      <c r="E3" s="42" t="s">
        <v>309</v>
      </c>
      <c r="F3" s="42" t="s">
        <v>310</v>
      </c>
      <c r="G3" s="42" t="s">
        <v>311</v>
      </c>
    </row>
    <row r="4" spans="1:7" ht="42" customHeight="1" x14ac:dyDescent="0.35">
      <c r="A4" s="61" t="s">
        <v>312</v>
      </c>
      <c r="B4" s="62" t="s">
        <v>313</v>
      </c>
      <c r="C4" s="62" t="s">
        <v>314</v>
      </c>
      <c r="D4" s="62" t="s">
        <v>315</v>
      </c>
      <c r="E4" s="62" t="s">
        <v>316</v>
      </c>
      <c r="F4" s="62" t="s">
        <v>317</v>
      </c>
      <c r="G4" s="62" t="s">
        <v>318</v>
      </c>
    </row>
    <row r="5" spans="1:7" ht="42" customHeight="1" x14ac:dyDescent="0.35">
      <c r="A5" s="61" t="s">
        <v>319</v>
      </c>
      <c r="B5" s="62" t="s">
        <v>313</v>
      </c>
      <c r="C5" s="62" t="s">
        <v>320</v>
      </c>
      <c r="D5" s="62" t="s">
        <v>315</v>
      </c>
      <c r="E5" s="62" t="s">
        <v>316</v>
      </c>
      <c r="F5" s="62" t="s">
        <v>321</v>
      </c>
      <c r="G5" s="62" t="s">
        <v>322</v>
      </c>
    </row>
    <row r="6" spans="1:7" ht="42" customHeight="1" x14ac:dyDescent="0.35">
      <c r="A6" s="61" t="s">
        <v>323</v>
      </c>
      <c r="B6" s="62" t="s">
        <v>313</v>
      </c>
      <c r="C6" s="62" t="s">
        <v>324</v>
      </c>
      <c r="D6" s="62" t="s">
        <v>325</v>
      </c>
      <c r="E6" s="62" t="s">
        <v>316</v>
      </c>
      <c r="F6" s="62" t="s">
        <v>326</v>
      </c>
      <c r="G6" s="62" t="s">
        <v>327</v>
      </c>
    </row>
    <row r="9" spans="1:7" ht="15" customHeight="1" x14ac:dyDescent="0.35">
      <c r="A9" s="15" t="s">
        <v>328</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77D54-6D8D-4877-948A-31637FEDD9A8}">
  <dimension ref="A1:M70"/>
  <sheetViews>
    <sheetView topLeftCell="H1" workbookViewId="0">
      <selection activeCell="B6" sqref="B6"/>
    </sheetView>
  </sheetViews>
  <sheetFormatPr defaultColWidth="9.81640625" defaultRowHeight="13" x14ac:dyDescent="0.35"/>
  <cols>
    <col min="1" max="12" width="20.54296875" style="72" customWidth="1"/>
    <col min="13" max="13" width="14.81640625" style="88" bestFit="1" customWidth="1"/>
    <col min="14" max="16384" width="9.81640625" style="72"/>
  </cols>
  <sheetData>
    <row r="1" spans="1:13" s="67" customFormat="1" ht="30" customHeight="1" x14ac:dyDescent="0.35">
      <c r="A1" s="63" t="s">
        <v>329</v>
      </c>
      <c r="B1" s="64" t="s">
        <v>330</v>
      </c>
      <c r="C1" s="65" t="s">
        <v>331</v>
      </c>
      <c r="D1" s="65" t="s">
        <v>332</v>
      </c>
      <c r="E1" s="65" t="s">
        <v>333</v>
      </c>
      <c r="F1" s="65" t="s">
        <v>334</v>
      </c>
      <c r="G1" s="65" t="s">
        <v>335</v>
      </c>
      <c r="H1" s="65" t="s">
        <v>336</v>
      </c>
      <c r="I1" s="65" t="s">
        <v>337</v>
      </c>
      <c r="J1" s="65" t="s">
        <v>338</v>
      </c>
      <c r="K1" s="65" t="s">
        <v>339</v>
      </c>
      <c r="L1" s="65" t="s">
        <v>340</v>
      </c>
      <c r="M1" s="66" t="s">
        <v>341</v>
      </c>
    </row>
    <row r="2" spans="1:13" ht="26" x14ac:dyDescent="0.35">
      <c r="A2" s="68" t="s">
        <v>342</v>
      </c>
      <c r="B2" s="69" t="s">
        <v>343</v>
      </c>
      <c r="C2" s="70" t="s">
        <v>344</v>
      </c>
      <c r="D2" s="70" t="s">
        <v>345</v>
      </c>
      <c r="E2" s="70" t="s">
        <v>346</v>
      </c>
      <c r="F2" s="70" t="s">
        <v>347</v>
      </c>
      <c r="G2" s="70" t="s">
        <v>77</v>
      </c>
      <c r="H2" s="70" t="s">
        <v>348</v>
      </c>
      <c r="I2" s="70" t="s">
        <v>349</v>
      </c>
      <c r="J2" s="70" t="s">
        <v>350</v>
      </c>
      <c r="K2" s="70" t="s">
        <v>351</v>
      </c>
      <c r="L2" s="70" t="s">
        <v>344</v>
      </c>
      <c r="M2" s="71" t="s">
        <v>352</v>
      </c>
    </row>
    <row r="3" spans="1:13" ht="26" x14ac:dyDescent="0.35">
      <c r="A3" s="68" t="s">
        <v>73</v>
      </c>
      <c r="B3" s="69" t="s">
        <v>353</v>
      </c>
      <c r="C3" s="70" t="s">
        <v>354</v>
      </c>
      <c r="D3" s="70" t="s">
        <v>355</v>
      </c>
      <c r="E3" s="70" t="s">
        <v>356</v>
      </c>
      <c r="F3" s="70" t="s">
        <v>357</v>
      </c>
      <c r="G3" s="70" t="s">
        <v>358</v>
      </c>
      <c r="H3" s="70" t="s">
        <v>359</v>
      </c>
      <c r="I3" s="70" t="s">
        <v>360</v>
      </c>
      <c r="J3" s="70" t="s">
        <v>361</v>
      </c>
      <c r="K3" s="70" t="s">
        <v>362</v>
      </c>
      <c r="L3" s="70" t="s">
        <v>363</v>
      </c>
      <c r="M3" s="71" t="s">
        <v>364</v>
      </c>
    </row>
    <row r="4" spans="1:13" ht="26" x14ac:dyDescent="0.35">
      <c r="A4" s="68" t="s">
        <v>365</v>
      </c>
      <c r="B4" s="69" t="s">
        <v>366</v>
      </c>
      <c r="C4" s="70" t="s">
        <v>367</v>
      </c>
      <c r="D4" s="70" t="s">
        <v>368</v>
      </c>
      <c r="E4" s="70" t="s">
        <v>369</v>
      </c>
      <c r="F4" s="70" t="s">
        <v>370</v>
      </c>
      <c r="G4" s="70" t="s">
        <v>371</v>
      </c>
      <c r="H4" s="70" t="s">
        <v>372</v>
      </c>
      <c r="I4" s="70" t="s">
        <v>373</v>
      </c>
      <c r="J4" s="70" t="s">
        <v>374</v>
      </c>
      <c r="K4" s="70" t="s">
        <v>375</v>
      </c>
      <c r="L4" s="70" t="s">
        <v>376</v>
      </c>
      <c r="M4" s="71" t="s">
        <v>377</v>
      </c>
    </row>
    <row r="5" spans="1:13" ht="26" x14ac:dyDescent="0.35">
      <c r="A5" s="68" t="s">
        <v>378</v>
      </c>
      <c r="B5" s="69" t="s">
        <v>379</v>
      </c>
      <c r="C5" s="70" t="s">
        <v>380</v>
      </c>
      <c r="D5" s="70" t="s">
        <v>381</v>
      </c>
      <c r="E5" s="70" t="s">
        <v>382</v>
      </c>
      <c r="F5" s="73" t="s">
        <v>383</v>
      </c>
      <c r="G5" s="73" t="s">
        <v>76</v>
      </c>
      <c r="H5" s="70" t="s">
        <v>384</v>
      </c>
      <c r="I5" s="70" t="s">
        <v>385</v>
      </c>
      <c r="J5" s="70" t="s">
        <v>386</v>
      </c>
      <c r="K5" s="70" t="s">
        <v>387</v>
      </c>
      <c r="L5" s="70" t="s">
        <v>388</v>
      </c>
      <c r="M5" s="71" t="s">
        <v>389</v>
      </c>
    </row>
    <row r="6" spans="1:13" ht="26" x14ac:dyDescent="0.35">
      <c r="A6" s="74" t="s">
        <v>378</v>
      </c>
      <c r="B6" s="69" t="s">
        <v>390</v>
      </c>
      <c r="C6" s="70" t="s">
        <v>391</v>
      </c>
      <c r="D6" s="70" t="s">
        <v>392</v>
      </c>
      <c r="E6" s="70" t="s">
        <v>393</v>
      </c>
      <c r="F6" s="68" t="s">
        <v>394</v>
      </c>
      <c r="G6" s="68" t="s">
        <v>394</v>
      </c>
      <c r="H6" s="70" t="s">
        <v>395</v>
      </c>
      <c r="I6" s="70" t="s">
        <v>396</v>
      </c>
      <c r="J6" s="70" t="s">
        <v>397</v>
      </c>
      <c r="K6" s="70" t="s">
        <v>398</v>
      </c>
      <c r="L6" s="70" t="s">
        <v>399</v>
      </c>
      <c r="M6" s="71" t="s">
        <v>400</v>
      </c>
    </row>
    <row r="7" spans="1:13" ht="26" x14ac:dyDescent="0.35">
      <c r="A7" s="75" t="s">
        <v>47</v>
      </c>
      <c r="B7" s="69" t="s">
        <v>401</v>
      </c>
      <c r="C7" s="70" t="s">
        <v>402</v>
      </c>
      <c r="D7" s="70" t="s">
        <v>403</v>
      </c>
      <c r="E7" s="70" t="s">
        <v>404</v>
      </c>
      <c r="F7" s="68" t="s">
        <v>394</v>
      </c>
      <c r="G7" s="68" t="s">
        <v>394</v>
      </c>
      <c r="H7" s="70" t="s">
        <v>405</v>
      </c>
      <c r="I7" s="70" t="s">
        <v>406</v>
      </c>
      <c r="J7" s="70" t="s">
        <v>407</v>
      </c>
      <c r="K7" s="73" t="s">
        <v>408</v>
      </c>
      <c r="L7" s="70" t="s">
        <v>409</v>
      </c>
      <c r="M7" s="71" t="s">
        <v>410</v>
      </c>
    </row>
    <row r="8" spans="1:13" ht="26" x14ac:dyDescent="0.35">
      <c r="A8" s="75" t="s">
        <v>411</v>
      </c>
      <c r="B8" s="69" t="s">
        <v>412</v>
      </c>
      <c r="C8" s="73" t="s">
        <v>413</v>
      </c>
      <c r="D8" s="70" t="s">
        <v>414</v>
      </c>
      <c r="E8" s="73" t="s">
        <v>415</v>
      </c>
      <c r="F8" s="68" t="s">
        <v>394</v>
      </c>
      <c r="G8" s="68" t="s">
        <v>394</v>
      </c>
      <c r="H8" s="70" t="s">
        <v>416</v>
      </c>
      <c r="I8" s="70" t="s">
        <v>417</v>
      </c>
      <c r="J8" s="70" t="s">
        <v>418</v>
      </c>
      <c r="K8" s="68" t="s">
        <v>394</v>
      </c>
      <c r="L8" s="70" t="s">
        <v>419</v>
      </c>
      <c r="M8" s="71" t="s">
        <v>420</v>
      </c>
    </row>
    <row r="9" spans="1:13" ht="26" x14ac:dyDescent="0.35">
      <c r="A9" s="75" t="s">
        <v>421</v>
      </c>
      <c r="B9" s="68" t="s">
        <v>422</v>
      </c>
      <c r="C9" s="76" t="s">
        <v>394</v>
      </c>
      <c r="D9" s="70" t="s">
        <v>412</v>
      </c>
      <c r="E9" s="68" t="s">
        <v>394</v>
      </c>
      <c r="F9" s="68" t="s">
        <v>394</v>
      </c>
      <c r="G9" s="68" t="s">
        <v>394</v>
      </c>
      <c r="H9" s="70" t="s">
        <v>423</v>
      </c>
      <c r="I9" s="70" t="s">
        <v>424</v>
      </c>
      <c r="J9" s="70" t="s">
        <v>425</v>
      </c>
      <c r="K9" s="68" t="s">
        <v>394</v>
      </c>
      <c r="L9" s="70" t="s">
        <v>426</v>
      </c>
      <c r="M9" s="71" t="s">
        <v>427</v>
      </c>
    </row>
    <row r="10" spans="1:13" ht="26" x14ac:dyDescent="0.35">
      <c r="A10" s="75" t="s">
        <v>428</v>
      </c>
      <c r="B10" s="77" t="s">
        <v>429</v>
      </c>
      <c r="C10" s="76" t="s">
        <v>394</v>
      </c>
      <c r="D10" s="73" t="s">
        <v>430</v>
      </c>
      <c r="E10" s="68" t="s">
        <v>394</v>
      </c>
      <c r="F10" s="68" t="s">
        <v>394</v>
      </c>
      <c r="G10" s="68" t="s">
        <v>394</v>
      </c>
      <c r="H10" s="70" t="s">
        <v>431</v>
      </c>
      <c r="I10" s="70" t="s">
        <v>432</v>
      </c>
      <c r="J10" s="70" t="s">
        <v>433</v>
      </c>
      <c r="K10" s="68" t="s">
        <v>394</v>
      </c>
      <c r="L10" s="70" t="s">
        <v>434</v>
      </c>
      <c r="M10" s="71" t="s">
        <v>435</v>
      </c>
    </row>
    <row r="11" spans="1:13" x14ac:dyDescent="0.35">
      <c r="A11" s="78" t="s">
        <v>394</v>
      </c>
      <c r="B11" s="79" t="s">
        <v>436</v>
      </c>
      <c r="C11" s="76" t="s">
        <v>394</v>
      </c>
      <c r="D11" s="68" t="s">
        <v>394</v>
      </c>
      <c r="E11" s="68" t="s">
        <v>394</v>
      </c>
      <c r="F11" s="68" t="s">
        <v>394</v>
      </c>
      <c r="G11" s="68" t="s">
        <v>394</v>
      </c>
      <c r="H11" s="70" t="s">
        <v>437</v>
      </c>
      <c r="I11" s="70" t="s">
        <v>438</v>
      </c>
      <c r="J11" s="70" t="s">
        <v>439</v>
      </c>
      <c r="K11" s="68" t="s">
        <v>394</v>
      </c>
      <c r="L11" s="70" t="s">
        <v>440</v>
      </c>
      <c r="M11" s="71" t="s">
        <v>441</v>
      </c>
    </row>
    <row r="12" spans="1:13" x14ac:dyDescent="0.35">
      <c r="A12" s="68" t="s">
        <v>394</v>
      </c>
      <c r="B12" s="79" t="s">
        <v>344</v>
      </c>
      <c r="C12" s="76" t="s">
        <v>394</v>
      </c>
      <c r="D12" s="68" t="s">
        <v>394</v>
      </c>
      <c r="E12" s="68" t="s">
        <v>394</v>
      </c>
      <c r="F12" s="68" t="s">
        <v>394</v>
      </c>
      <c r="G12" s="68" t="s">
        <v>394</v>
      </c>
      <c r="H12" s="70" t="s">
        <v>442</v>
      </c>
      <c r="I12" s="70" t="s">
        <v>443</v>
      </c>
      <c r="J12" s="70" t="s">
        <v>444</v>
      </c>
      <c r="K12" s="68" t="s">
        <v>394</v>
      </c>
      <c r="L12" s="70" t="s">
        <v>445</v>
      </c>
      <c r="M12" s="71" t="s">
        <v>446</v>
      </c>
    </row>
    <row r="13" spans="1:13" x14ac:dyDescent="0.35">
      <c r="A13" s="68" t="s">
        <v>394</v>
      </c>
      <c r="B13" s="79" t="s">
        <v>447</v>
      </c>
      <c r="C13" s="76" t="s">
        <v>394</v>
      </c>
      <c r="D13" s="68" t="s">
        <v>394</v>
      </c>
      <c r="E13" s="68" t="s">
        <v>394</v>
      </c>
      <c r="F13" s="68" t="s">
        <v>394</v>
      </c>
      <c r="G13" s="68" t="s">
        <v>394</v>
      </c>
      <c r="H13" s="70" t="s">
        <v>448</v>
      </c>
      <c r="I13" s="70" t="s">
        <v>449</v>
      </c>
      <c r="J13" s="70" t="s">
        <v>450</v>
      </c>
      <c r="K13" s="68" t="s">
        <v>394</v>
      </c>
      <c r="L13" s="73" t="s">
        <v>451</v>
      </c>
      <c r="M13" s="71" t="s">
        <v>452</v>
      </c>
    </row>
    <row r="14" spans="1:13" x14ac:dyDescent="0.35">
      <c r="A14" s="68" t="s">
        <v>394</v>
      </c>
      <c r="B14" s="79" t="s">
        <v>453</v>
      </c>
      <c r="C14" s="76" t="s">
        <v>394</v>
      </c>
      <c r="D14" s="68" t="s">
        <v>394</v>
      </c>
      <c r="E14" s="68" t="s">
        <v>394</v>
      </c>
      <c r="F14" s="68" t="s">
        <v>394</v>
      </c>
      <c r="G14" s="68" t="s">
        <v>394</v>
      </c>
      <c r="H14" s="70" t="s">
        <v>454</v>
      </c>
      <c r="I14" s="70" t="s">
        <v>455</v>
      </c>
      <c r="J14" s="70" t="s">
        <v>456</v>
      </c>
      <c r="K14" s="68" t="s">
        <v>394</v>
      </c>
      <c r="L14" s="68" t="s">
        <v>394</v>
      </c>
      <c r="M14" s="71" t="s">
        <v>457</v>
      </c>
    </row>
    <row r="15" spans="1:13" x14ac:dyDescent="0.35">
      <c r="A15" s="68" t="s">
        <v>394</v>
      </c>
      <c r="B15" s="79" t="s">
        <v>458</v>
      </c>
      <c r="C15" s="76" t="s">
        <v>394</v>
      </c>
      <c r="D15" s="68" t="s">
        <v>394</v>
      </c>
      <c r="E15" s="68" t="s">
        <v>394</v>
      </c>
      <c r="F15" s="68" t="s">
        <v>394</v>
      </c>
      <c r="G15" s="68" t="s">
        <v>394</v>
      </c>
      <c r="H15" s="70" t="s">
        <v>459</v>
      </c>
      <c r="I15" s="70" t="s">
        <v>460</v>
      </c>
      <c r="J15" s="73" t="s">
        <v>461</v>
      </c>
      <c r="K15" s="68" t="s">
        <v>394</v>
      </c>
      <c r="L15" s="68" t="s">
        <v>394</v>
      </c>
      <c r="M15" s="71" t="s">
        <v>462</v>
      </c>
    </row>
    <row r="16" spans="1:13" x14ac:dyDescent="0.35">
      <c r="A16" s="68" t="s">
        <v>394</v>
      </c>
      <c r="B16" s="79" t="s">
        <v>463</v>
      </c>
      <c r="C16" s="76" t="s">
        <v>394</v>
      </c>
      <c r="D16" s="68" t="s">
        <v>394</v>
      </c>
      <c r="E16" s="68" t="s">
        <v>394</v>
      </c>
      <c r="F16" s="68" t="s">
        <v>394</v>
      </c>
      <c r="G16" s="68" t="s">
        <v>394</v>
      </c>
      <c r="H16" s="70" t="s">
        <v>464</v>
      </c>
      <c r="I16" s="70" t="s">
        <v>465</v>
      </c>
      <c r="J16" s="68" t="s">
        <v>394</v>
      </c>
      <c r="K16" s="68" t="s">
        <v>394</v>
      </c>
      <c r="L16" s="68" t="s">
        <v>394</v>
      </c>
      <c r="M16" s="71" t="s">
        <v>466</v>
      </c>
    </row>
    <row r="17" spans="1:13" ht="26" x14ac:dyDescent="0.35">
      <c r="A17" s="68" t="s">
        <v>394</v>
      </c>
      <c r="B17" s="72" t="s">
        <v>394</v>
      </c>
      <c r="C17" s="68" t="s">
        <v>394</v>
      </c>
      <c r="D17" s="68" t="s">
        <v>394</v>
      </c>
      <c r="E17" s="68" t="s">
        <v>394</v>
      </c>
      <c r="F17" s="68" t="s">
        <v>394</v>
      </c>
      <c r="G17" s="68" t="s">
        <v>394</v>
      </c>
      <c r="H17" s="70" t="s">
        <v>467</v>
      </c>
      <c r="I17" s="70" t="s">
        <v>468</v>
      </c>
      <c r="J17" s="68" t="s">
        <v>394</v>
      </c>
      <c r="K17" s="68" t="s">
        <v>394</v>
      </c>
      <c r="L17" s="68" t="s">
        <v>394</v>
      </c>
      <c r="M17" s="71" t="s">
        <v>469</v>
      </c>
    </row>
    <row r="18" spans="1:13" x14ac:dyDescent="0.35">
      <c r="A18" s="68" t="s">
        <v>394</v>
      </c>
      <c r="B18" s="68" t="s">
        <v>394</v>
      </c>
      <c r="C18" s="68" t="s">
        <v>394</v>
      </c>
      <c r="D18" s="68" t="s">
        <v>394</v>
      </c>
      <c r="E18" s="68" t="s">
        <v>394</v>
      </c>
      <c r="F18" s="68" t="s">
        <v>394</v>
      </c>
      <c r="G18" s="68" t="s">
        <v>394</v>
      </c>
      <c r="H18" s="70" t="s">
        <v>470</v>
      </c>
      <c r="I18" s="70" t="s">
        <v>395</v>
      </c>
      <c r="J18" s="68" t="s">
        <v>394</v>
      </c>
      <c r="K18" s="68" t="s">
        <v>394</v>
      </c>
      <c r="L18" s="68" t="s">
        <v>394</v>
      </c>
      <c r="M18" s="71" t="s">
        <v>471</v>
      </c>
    </row>
    <row r="19" spans="1:13" x14ac:dyDescent="0.35">
      <c r="A19" s="68" t="s">
        <v>394</v>
      </c>
      <c r="B19" s="68" t="s">
        <v>394</v>
      </c>
      <c r="C19" s="68" t="s">
        <v>394</v>
      </c>
      <c r="D19" s="68" t="s">
        <v>394</v>
      </c>
      <c r="E19" s="68" t="s">
        <v>394</v>
      </c>
      <c r="F19" s="68" t="s">
        <v>394</v>
      </c>
      <c r="G19" s="68" t="s">
        <v>394</v>
      </c>
      <c r="H19" s="70" t="s">
        <v>439</v>
      </c>
      <c r="I19" s="70" t="s">
        <v>472</v>
      </c>
      <c r="J19" s="68" t="s">
        <v>394</v>
      </c>
      <c r="K19" s="68" t="s">
        <v>394</v>
      </c>
      <c r="L19" s="68" t="s">
        <v>394</v>
      </c>
      <c r="M19" s="71" t="s">
        <v>473</v>
      </c>
    </row>
    <row r="20" spans="1:13" x14ac:dyDescent="0.35">
      <c r="A20" s="68" t="s">
        <v>394</v>
      </c>
      <c r="B20" s="68" t="s">
        <v>394</v>
      </c>
      <c r="C20" s="68" t="s">
        <v>394</v>
      </c>
      <c r="D20" s="68" t="s">
        <v>394</v>
      </c>
      <c r="E20" s="68" t="s">
        <v>394</v>
      </c>
      <c r="F20" s="68" t="s">
        <v>394</v>
      </c>
      <c r="G20" s="68" t="s">
        <v>394</v>
      </c>
      <c r="H20" s="70" t="s">
        <v>474</v>
      </c>
      <c r="I20" s="70" t="s">
        <v>374</v>
      </c>
      <c r="J20" s="68" t="s">
        <v>394</v>
      </c>
      <c r="K20" s="68" t="s">
        <v>394</v>
      </c>
      <c r="L20" s="68" t="s">
        <v>394</v>
      </c>
      <c r="M20" s="71" t="s">
        <v>475</v>
      </c>
    </row>
    <row r="21" spans="1:13" x14ac:dyDescent="0.35">
      <c r="A21" s="68" t="s">
        <v>394</v>
      </c>
      <c r="B21" s="68" t="s">
        <v>394</v>
      </c>
      <c r="C21" s="68" t="s">
        <v>394</v>
      </c>
      <c r="D21" s="68" t="s">
        <v>394</v>
      </c>
      <c r="E21" s="68" t="s">
        <v>394</v>
      </c>
      <c r="F21" s="68" t="s">
        <v>394</v>
      </c>
      <c r="G21" s="68" t="s">
        <v>394</v>
      </c>
      <c r="H21" s="70" t="s">
        <v>476</v>
      </c>
      <c r="I21" s="70" t="s">
        <v>477</v>
      </c>
      <c r="J21" s="68" t="s">
        <v>394</v>
      </c>
      <c r="K21" s="68" t="s">
        <v>394</v>
      </c>
      <c r="L21" s="68" t="s">
        <v>394</v>
      </c>
      <c r="M21" s="71" t="s">
        <v>478</v>
      </c>
    </row>
    <row r="22" spans="1:13" x14ac:dyDescent="0.35">
      <c r="A22" s="68" t="s">
        <v>394</v>
      </c>
      <c r="B22" s="68" t="s">
        <v>394</v>
      </c>
      <c r="C22" s="68" t="s">
        <v>394</v>
      </c>
      <c r="D22" s="68" t="s">
        <v>394</v>
      </c>
      <c r="E22" s="68" t="s">
        <v>394</v>
      </c>
      <c r="F22" s="68" t="s">
        <v>394</v>
      </c>
      <c r="G22" s="68" t="s">
        <v>394</v>
      </c>
      <c r="H22" s="70" t="s">
        <v>479</v>
      </c>
      <c r="I22" s="70" t="s">
        <v>480</v>
      </c>
      <c r="J22" s="68" t="s">
        <v>394</v>
      </c>
      <c r="K22" s="68" t="s">
        <v>394</v>
      </c>
      <c r="L22" s="68" t="s">
        <v>394</v>
      </c>
      <c r="M22" s="71" t="s">
        <v>481</v>
      </c>
    </row>
    <row r="23" spans="1:13" x14ac:dyDescent="0.35">
      <c r="A23" s="68" t="s">
        <v>394</v>
      </c>
      <c r="B23" s="68" t="s">
        <v>394</v>
      </c>
      <c r="C23" s="68" t="s">
        <v>394</v>
      </c>
      <c r="D23" s="68" t="s">
        <v>394</v>
      </c>
      <c r="E23" s="68" t="s">
        <v>394</v>
      </c>
      <c r="F23" s="68" t="s">
        <v>394</v>
      </c>
      <c r="G23" s="68" t="s">
        <v>394</v>
      </c>
      <c r="H23" s="70" t="s">
        <v>482</v>
      </c>
      <c r="I23" s="70" t="s">
        <v>397</v>
      </c>
      <c r="J23" s="68" t="s">
        <v>394</v>
      </c>
      <c r="K23" s="68" t="s">
        <v>394</v>
      </c>
      <c r="L23" s="68" t="s">
        <v>394</v>
      </c>
      <c r="M23" s="71" t="s">
        <v>483</v>
      </c>
    </row>
    <row r="24" spans="1:13" x14ac:dyDescent="0.35">
      <c r="A24" s="68" t="s">
        <v>394</v>
      </c>
      <c r="B24" s="68" t="s">
        <v>394</v>
      </c>
      <c r="C24" s="68" t="s">
        <v>394</v>
      </c>
      <c r="D24" s="68" t="s">
        <v>394</v>
      </c>
      <c r="E24" s="68" t="s">
        <v>394</v>
      </c>
      <c r="F24" s="68" t="s">
        <v>394</v>
      </c>
      <c r="G24" s="68" t="s">
        <v>394</v>
      </c>
      <c r="H24" s="70" t="s">
        <v>484</v>
      </c>
      <c r="I24" s="70" t="s">
        <v>485</v>
      </c>
      <c r="J24" s="68" t="s">
        <v>394</v>
      </c>
      <c r="K24" s="68" t="s">
        <v>394</v>
      </c>
      <c r="L24" s="68" t="s">
        <v>394</v>
      </c>
      <c r="M24" s="71" t="s">
        <v>486</v>
      </c>
    </row>
    <row r="25" spans="1:13" x14ac:dyDescent="0.35">
      <c r="A25" s="68" t="s">
        <v>394</v>
      </c>
      <c r="B25" s="68" t="s">
        <v>394</v>
      </c>
      <c r="C25" s="68" t="s">
        <v>394</v>
      </c>
      <c r="D25" s="68" t="s">
        <v>394</v>
      </c>
      <c r="E25" s="68" t="s">
        <v>394</v>
      </c>
      <c r="F25" s="68" t="s">
        <v>394</v>
      </c>
      <c r="G25" s="68" t="s">
        <v>394</v>
      </c>
      <c r="H25" s="70" t="s">
        <v>487</v>
      </c>
      <c r="I25" s="70" t="s">
        <v>488</v>
      </c>
      <c r="J25" s="68" t="s">
        <v>394</v>
      </c>
      <c r="K25" s="68" t="s">
        <v>394</v>
      </c>
      <c r="L25" s="68" t="s">
        <v>394</v>
      </c>
      <c r="M25" s="71" t="s">
        <v>489</v>
      </c>
    </row>
    <row r="26" spans="1:13" x14ac:dyDescent="0.35">
      <c r="A26" s="68" t="s">
        <v>394</v>
      </c>
      <c r="B26" s="68" t="s">
        <v>394</v>
      </c>
      <c r="C26" s="68" t="s">
        <v>394</v>
      </c>
      <c r="D26" s="68" t="s">
        <v>394</v>
      </c>
      <c r="E26" s="68" t="s">
        <v>394</v>
      </c>
      <c r="F26" s="68" t="s">
        <v>394</v>
      </c>
      <c r="G26" s="68" t="s">
        <v>394</v>
      </c>
      <c r="H26" s="70" t="s">
        <v>490</v>
      </c>
      <c r="I26" s="70" t="s">
        <v>491</v>
      </c>
      <c r="J26" s="68" t="s">
        <v>394</v>
      </c>
      <c r="K26" s="68" t="s">
        <v>394</v>
      </c>
      <c r="L26" s="68" t="s">
        <v>394</v>
      </c>
      <c r="M26" s="71" t="s">
        <v>492</v>
      </c>
    </row>
    <row r="27" spans="1:13" ht="26" x14ac:dyDescent="0.35">
      <c r="A27" s="68" t="s">
        <v>394</v>
      </c>
      <c r="B27" s="68" t="s">
        <v>394</v>
      </c>
      <c r="C27" s="68" t="s">
        <v>394</v>
      </c>
      <c r="D27" s="68" t="s">
        <v>394</v>
      </c>
      <c r="E27" s="68" t="s">
        <v>394</v>
      </c>
      <c r="F27" s="68" t="s">
        <v>394</v>
      </c>
      <c r="G27" s="68" t="s">
        <v>394</v>
      </c>
      <c r="H27" s="70" t="s">
        <v>493</v>
      </c>
      <c r="I27" s="70" t="s">
        <v>494</v>
      </c>
      <c r="J27" s="68" t="s">
        <v>394</v>
      </c>
      <c r="K27" s="68" t="s">
        <v>394</v>
      </c>
      <c r="L27" s="68" t="s">
        <v>394</v>
      </c>
      <c r="M27" s="71" t="s">
        <v>495</v>
      </c>
    </row>
    <row r="28" spans="1:13" x14ac:dyDescent="0.35">
      <c r="A28" s="68" t="s">
        <v>394</v>
      </c>
      <c r="B28" s="68" t="s">
        <v>394</v>
      </c>
      <c r="C28" s="68" t="s">
        <v>394</v>
      </c>
      <c r="D28" s="68" t="s">
        <v>394</v>
      </c>
      <c r="E28" s="68" t="s">
        <v>394</v>
      </c>
      <c r="F28" s="68" t="s">
        <v>394</v>
      </c>
      <c r="G28" s="68" t="s">
        <v>394</v>
      </c>
      <c r="H28" s="70" t="s">
        <v>496</v>
      </c>
      <c r="I28" s="70" t="s">
        <v>497</v>
      </c>
      <c r="J28" s="68" t="s">
        <v>394</v>
      </c>
      <c r="K28" s="68" t="s">
        <v>394</v>
      </c>
      <c r="L28" s="68" t="s">
        <v>394</v>
      </c>
      <c r="M28" s="71" t="s">
        <v>498</v>
      </c>
    </row>
    <row r="29" spans="1:13" x14ac:dyDescent="0.35">
      <c r="A29" s="68" t="s">
        <v>394</v>
      </c>
      <c r="B29" s="68" t="s">
        <v>394</v>
      </c>
      <c r="C29" s="68" t="s">
        <v>394</v>
      </c>
      <c r="D29" s="68" t="s">
        <v>394</v>
      </c>
      <c r="E29" s="68" t="s">
        <v>394</v>
      </c>
      <c r="F29" s="68" t="s">
        <v>394</v>
      </c>
      <c r="G29" s="68" t="s">
        <v>394</v>
      </c>
      <c r="H29" s="70" t="s">
        <v>499</v>
      </c>
      <c r="I29" s="70" t="s">
        <v>500</v>
      </c>
      <c r="J29" s="68" t="s">
        <v>394</v>
      </c>
      <c r="K29" s="68" t="s">
        <v>394</v>
      </c>
      <c r="L29" s="68" t="s">
        <v>394</v>
      </c>
      <c r="M29" s="71" t="s">
        <v>501</v>
      </c>
    </row>
    <row r="30" spans="1:13" ht="26" x14ac:dyDescent="0.35">
      <c r="A30" s="68" t="s">
        <v>394</v>
      </c>
      <c r="B30" s="68" t="s">
        <v>394</v>
      </c>
      <c r="C30" s="68" t="s">
        <v>394</v>
      </c>
      <c r="D30" s="68" t="s">
        <v>394</v>
      </c>
      <c r="E30" s="68" t="s">
        <v>394</v>
      </c>
      <c r="F30" s="68" t="s">
        <v>394</v>
      </c>
      <c r="G30" s="68" t="s">
        <v>394</v>
      </c>
      <c r="H30" s="70" t="s">
        <v>502</v>
      </c>
      <c r="I30" s="70" t="s">
        <v>503</v>
      </c>
      <c r="J30" s="68" t="s">
        <v>394</v>
      </c>
      <c r="K30" s="68" t="s">
        <v>394</v>
      </c>
      <c r="L30" s="68" t="s">
        <v>394</v>
      </c>
      <c r="M30" s="71" t="s">
        <v>504</v>
      </c>
    </row>
    <row r="31" spans="1:13" ht="26" x14ac:dyDescent="0.35">
      <c r="A31" s="68" t="s">
        <v>394</v>
      </c>
      <c r="B31" s="68" t="s">
        <v>394</v>
      </c>
      <c r="C31" s="68" t="s">
        <v>394</v>
      </c>
      <c r="D31" s="68" t="s">
        <v>394</v>
      </c>
      <c r="E31" s="68" t="s">
        <v>394</v>
      </c>
      <c r="F31" s="68" t="s">
        <v>394</v>
      </c>
      <c r="G31" s="68" t="s">
        <v>394</v>
      </c>
      <c r="H31" s="73" t="s">
        <v>505</v>
      </c>
      <c r="I31" s="70" t="s">
        <v>506</v>
      </c>
      <c r="J31" s="68" t="s">
        <v>394</v>
      </c>
      <c r="K31" s="68" t="s">
        <v>394</v>
      </c>
      <c r="L31" s="68" t="s">
        <v>394</v>
      </c>
      <c r="M31" s="71" t="s">
        <v>507</v>
      </c>
    </row>
    <row r="32" spans="1:13" x14ac:dyDescent="0.35">
      <c r="A32" s="68" t="s">
        <v>394</v>
      </c>
      <c r="B32" s="68" t="s">
        <v>394</v>
      </c>
      <c r="C32" s="68" t="s">
        <v>394</v>
      </c>
      <c r="D32" s="68" t="s">
        <v>394</v>
      </c>
      <c r="E32" s="68" t="s">
        <v>394</v>
      </c>
      <c r="F32" s="68" t="s">
        <v>394</v>
      </c>
      <c r="G32" s="68" t="s">
        <v>394</v>
      </c>
      <c r="H32" s="68" t="s">
        <v>394</v>
      </c>
      <c r="I32" s="70" t="s">
        <v>508</v>
      </c>
      <c r="J32" s="68" t="s">
        <v>394</v>
      </c>
      <c r="K32" s="68" t="s">
        <v>394</v>
      </c>
      <c r="L32" s="68" t="s">
        <v>394</v>
      </c>
      <c r="M32" s="71" t="s">
        <v>509</v>
      </c>
    </row>
    <row r="33" spans="1:13" ht="26" x14ac:dyDescent="0.35">
      <c r="A33" s="68" t="s">
        <v>394</v>
      </c>
      <c r="B33" s="68" t="s">
        <v>394</v>
      </c>
      <c r="C33" s="68" t="s">
        <v>394</v>
      </c>
      <c r="D33" s="68" t="s">
        <v>394</v>
      </c>
      <c r="E33" s="68" t="s">
        <v>394</v>
      </c>
      <c r="F33" s="68" t="s">
        <v>394</v>
      </c>
      <c r="G33" s="68" t="s">
        <v>394</v>
      </c>
      <c r="H33" s="68" t="s">
        <v>394</v>
      </c>
      <c r="I33" s="70" t="s">
        <v>510</v>
      </c>
      <c r="J33" s="68" t="s">
        <v>394</v>
      </c>
      <c r="K33" s="68" t="s">
        <v>394</v>
      </c>
      <c r="L33" s="68" t="s">
        <v>394</v>
      </c>
      <c r="M33" s="71" t="s">
        <v>511</v>
      </c>
    </row>
    <row r="34" spans="1:13" ht="26" x14ac:dyDescent="0.35">
      <c r="A34" s="68" t="s">
        <v>394</v>
      </c>
      <c r="B34" s="68" t="s">
        <v>394</v>
      </c>
      <c r="C34" s="68" t="s">
        <v>394</v>
      </c>
      <c r="D34" s="68" t="s">
        <v>394</v>
      </c>
      <c r="E34" s="68" t="s">
        <v>394</v>
      </c>
      <c r="F34" s="68" t="s">
        <v>394</v>
      </c>
      <c r="G34" s="68" t="s">
        <v>394</v>
      </c>
      <c r="H34" s="68" t="s">
        <v>394</v>
      </c>
      <c r="I34" s="70" t="s">
        <v>512</v>
      </c>
      <c r="J34" s="68" t="s">
        <v>394</v>
      </c>
      <c r="K34" s="68" t="s">
        <v>394</v>
      </c>
      <c r="L34" s="68" t="s">
        <v>394</v>
      </c>
      <c r="M34" s="71" t="s">
        <v>513</v>
      </c>
    </row>
    <row r="35" spans="1:13" x14ac:dyDescent="0.35">
      <c r="A35" s="68" t="s">
        <v>394</v>
      </c>
      <c r="B35" s="68" t="s">
        <v>394</v>
      </c>
      <c r="C35" s="68" t="s">
        <v>394</v>
      </c>
      <c r="D35" s="68" t="s">
        <v>394</v>
      </c>
      <c r="E35" s="68" t="s">
        <v>394</v>
      </c>
      <c r="F35" s="68" t="s">
        <v>394</v>
      </c>
      <c r="G35" s="68" t="s">
        <v>394</v>
      </c>
      <c r="H35" s="68" t="s">
        <v>394</v>
      </c>
      <c r="I35" s="70" t="s">
        <v>514</v>
      </c>
      <c r="J35" s="68" t="s">
        <v>394</v>
      </c>
      <c r="K35" s="68" t="s">
        <v>394</v>
      </c>
      <c r="L35" s="68" t="s">
        <v>394</v>
      </c>
      <c r="M35" s="71" t="s">
        <v>515</v>
      </c>
    </row>
    <row r="36" spans="1:13" x14ac:dyDescent="0.35">
      <c r="A36" s="68" t="s">
        <v>394</v>
      </c>
      <c r="B36" s="68" t="s">
        <v>394</v>
      </c>
      <c r="C36" s="68" t="s">
        <v>394</v>
      </c>
      <c r="D36" s="68" t="s">
        <v>394</v>
      </c>
      <c r="E36" s="68" t="s">
        <v>394</v>
      </c>
      <c r="F36" s="68" t="s">
        <v>394</v>
      </c>
      <c r="G36" s="68" t="s">
        <v>394</v>
      </c>
      <c r="H36" s="68" t="s">
        <v>394</v>
      </c>
      <c r="I36" s="70" t="s">
        <v>516</v>
      </c>
      <c r="J36" s="68" t="s">
        <v>394</v>
      </c>
      <c r="K36" s="68" t="s">
        <v>394</v>
      </c>
      <c r="L36" s="68" t="s">
        <v>394</v>
      </c>
      <c r="M36" s="71" t="s">
        <v>517</v>
      </c>
    </row>
    <row r="37" spans="1:13" x14ac:dyDescent="0.35">
      <c r="A37" s="68" t="s">
        <v>394</v>
      </c>
      <c r="B37" s="68" t="s">
        <v>394</v>
      </c>
      <c r="C37" s="68" t="s">
        <v>394</v>
      </c>
      <c r="D37" s="68" t="s">
        <v>394</v>
      </c>
      <c r="E37" s="68" t="s">
        <v>394</v>
      </c>
      <c r="F37" s="68" t="s">
        <v>394</v>
      </c>
      <c r="G37" s="68" t="s">
        <v>394</v>
      </c>
      <c r="H37" s="68" t="s">
        <v>394</v>
      </c>
      <c r="I37" s="70" t="s">
        <v>518</v>
      </c>
      <c r="J37" s="68" t="s">
        <v>394</v>
      </c>
      <c r="K37" s="68" t="s">
        <v>394</v>
      </c>
      <c r="L37" s="68" t="s">
        <v>394</v>
      </c>
      <c r="M37" s="71" t="s">
        <v>519</v>
      </c>
    </row>
    <row r="38" spans="1:13" x14ac:dyDescent="0.35">
      <c r="A38" s="68" t="s">
        <v>394</v>
      </c>
      <c r="B38" s="68" t="s">
        <v>394</v>
      </c>
      <c r="C38" s="68" t="s">
        <v>394</v>
      </c>
      <c r="D38" s="68" t="s">
        <v>394</v>
      </c>
      <c r="E38" s="68" t="s">
        <v>394</v>
      </c>
      <c r="F38" s="68" t="s">
        <v>394</v>
      </c>
      <c r="G38" s="68" t="s">
        <v>394</v>
      </c>
      <c r="H38" s="68" t="s">
        <v>394</v>
      </c>
      <c r="I38" s="70" t="s">
        <v>520</v>
      </c>
      <c r="J38" s="68" t="s">
        <v>394</v>
      </c>
      <c r="K38" s="68" t="s">
        <v>394</v>
      </c>
      <c r="L38" s="68" t="s">
        <v>394</v>
      </c>
      <c r="M38" s="71" t="s">
        <v>521</v>
      </c>
    </row>
    <row r="39" spans="1:13" x14ac:dyDescent="0.35">
      <c r="A39" s="68" t="s">
        <v>394</v>
      </c>
      <c r="B39" s="68" t="s">
        <v>394</v>
      </c>
      <c r="C39" s="68" t="s">
        <v>394</v>
      </c>
      <c r="D39" s="68" t="s">
        <v>394</v>
      </c>
      <c r="E39" s="68" t="s">
        <v>394</v>
      </c>
      <c r="F39" s="68" t="s">
        <v>394</v>
      </c>
      <c r="G39" s="68" t="s">
        <v>394</v>
      </c>
      <c r="H39" s="68" t="s">
        <v>394</v>
      </c>
      <c r="I39" s="70" t="s">
        <v>522</v>
      </c>
      <c r="J39" s="68" t="s">
        <v>394</v>
      </c>
      <c r="K39" s="68" t="s">
        <v>394</v>
      </c>
      <c r="L39" s="68" t="s">
        <v>394</v>
      </c>
      <c r="M39" s="71" t="s">
        <v>523</v>
      </c>
    </row>
    <row r="40" spans="1:13" ht="26" x14ac:dyDescent="0.35">
      <c r="A40" s="68" t="s">
        <v>394</v>
      </c>
      <c r="B40" s="68" t="s">
        <v>394</v>
      </c>
      <c r="C40" s="68" t="s">
        <v>394</v>
      </c>
      <c r="D40" s="68" t="s">
        <v>394</v>
      </c>
      <c r="E40" s="68" t="s">
        <v>394</v>
      </c>
      <c r="F40" s="68" t="s">
        <v>394</v>
      </c>
      <c r="G40" s="68" t="s">
        <v>394</v>
      </c>
      <c r="H40" s="68" t="s">
        <v>394</v>
      </c>
      <c r="I40" s="70" t="s">
        <v>524</v>
      </c>
      <c r="J40" s="68" t="s">
        <v>394</v>
      </c>
      <c r="K40" s="68" t="s">
        <v>394</v>
      </c>
      <c r="L40" s="68" t="s">
        <v>394</v>
      </c>
      <c r="M40" s="71" t="s">
        <v>525</v>
      </c>
    </row>
    <row r="41" spans="1:13" ht="39" x14ac:dyDescent="0.35">
      <c r="A41" s="68" t="s">
        <v>394</v>
      </c>
      <c r="B41" s="68" t="s">
        <v>394</v>
      </c>
      <c r="C41" s="68" t="s">
        <v>394</v>
      </c>
      <c r="D41" s="68" t="s">
        <v>394</v>
      </c>
      <c r="E41" s="68" t="s">
        <v>394</v>
      </c>
      <c r="F41" s="68" t="s">
        <v>394</v>
      </c>
      <c r="G41" s="68" t="s">
        <v>394</v>
      </c>
      <c r="H41" s="68" t="s">
        <v>394</v>
      </c>
      <c r="I41" s="70" t="s">
        <v>526</v>
      </c>
      <c r="J41" s="68" t="s">
        <v>394</v>
      </c>
      <c r="K41" s="68" t="s">
        <v>394</v>
      </c>
      <c r="L41" s="68" t="s">
        <v>394</v>
      </c>
      <c r="M41" s="71" t="s">
        <v>527</v>
      </c>
    </row>
    <row r="42" spans="1:13" x14ac:dyDescent="0.35">
      <c r="A42" s="68" t="s">
        <v>394</v>
      </c>
      <c r="B42" s="68" t="s">
        <v>394</v>
      </c>
      <c r="C42" s="68" t="s">
        <v>394</v>
      </c>
      <c r="D42" s="68" t="s">
        <v>394</v>
      </c>
      <c r="E42" s="68" t="s">
        <v>394</v>
      </c>
      <c r="F42" s="68" t="s">
        <v>394</v>
      </c>
      <c r="G42" s="68" t="s">
        <v>394</v>
      </c>
      <c r="H42" s="68" t="s">
        <v>394</v>
      </c>
      <c r="I42" s="70" t="s">
        <v>528</v>
      </c>
      <c r="J42" s="68" t="s">
        <v>394</v>
      </c>
      <c r="K42" s="68" t="s">
        <v>394</v>
      </c>
      <c r="L42" s="68" t="s">
        <v>394</v>
      </c>
      <c r="M42" s="80"/>
    </row>
    <row r="43" spans="1:13" x14ac:dyDescent="0.35">
      <c r="A43" s="68" t="s">
        <v>394</v>
      </c>
      <c r="B43" s="68" t="s">
        <v>394</v>
      </c>
      <c r="C43" s="68" t="s">
        <v>394</v>
      </c>
      <c r="D43" s="68" t="s">
        <v>394</v>
      </c>
      <c r="E43" s="68" t="s">
        <v>394</v>
      </c>
      <c r="F43" s="68" t="s">
        <v>394</v>
      </c>
      <c r="G43" s="68" t="s">
        <v>394</v>
      </c>
      <c r="H43" s="68" t="s">
        <v>394</v>
      </c>
      <c r="I43" s="70" t="s">
        <v>529</v>
      </c>
      <c r="J43" s="68" t="s">
        <v>394</v>
      </c>
      <c r="K43" s="68" t="s">
        <v>394</v>
      </c>
      <c r="L43" s="68" t="s">
        <v>394</v>
      </c>
      <c r="M43" s="81" t="s">
        <v>530</v>
      </c>
    </row>
    <row r="44" spans="1:13" x14ac:dyDescent="0.35">
      <c r="A44" s="68" t="s">
        <v>394</v>
      </c>
      <c r="B44" s="68" t="s">
        <v>394</v>
      </c>
      <c r="C44" s="68" t="s">
        <v>394</v>
      </c>
      <c r="D44" s="68" t="s">
        <v>394</v>
      </c>
      <c r="E44" s="68" t="s">
        <v>394</v>
      </c>
      <c r="F44" s="68" t="s">
        <v>394</v>
      </c>
      <c r="G44" s="68" t="s">
        <v>394</v>
      </c>
      <c r="H44" s="68" t="s">
        <v>394</v>
      </c>
      <c r="I44" s="70" t="s">
        <v>531</v>
      </c>
      <c r="J44" s="68" t="s">
        <v>394</v>
      </c>
      <c r="K44" s="68" t="s">
        <v>394</v>
      </c>
      <c r="L44" s="68" t="s">
        <v>394</v>
      </c>
      <c r="M44" s="71" t="s">
        <v>532</v>
      </c>
    </row>
    <row r="45" spans="1:13" x14ac:dyDescent="0.35">
      <c r="A45" s="68" t="s">
        <v>394</v>
      </c>
      <c r="B45" s="68" t="s">
        <v>394</v>
      </c>
      <c r="C45" s="68" t="s">
        <v>394</v>
      </c>
      <c r="D45" s="68" t="s">
        <v>394</v>
      </c>
      <c r="E45" s="68" t="s">
        <v>394</v>
      </c>
      <c r="F45" s="68" t="s">
        <v>394</v>
      </c>
      <c r="G45" s="68" t="s">
        <v>394</v>
      </c>
      <c r="H45" s="68" t="s">
        <v>394</v>
      </c>
      <c r="I45" s="70" t="s">
        <v>533</v>
      </c>
      <c r="J45" s="68" t="s">
        <v>394</v>
      </c>
      <c r="K45" s="68" t="s">
        <v>394</v>
      </c>
      <c r="L45" s="68" t="s">
        <v>394</v>
      </c>
      <c r="M45" s="71" t="s">
        <v>534</v>
      </c>
    </row>
    <row r="46" spans="1:13" x14ac:dyDescent="0.35">
      <c r="A46" s="68" t="s">
        <v>394</v>
      </c>
      <c r="B46" s="68" t="s">
        <v>394</v>
      </c>
      <c r="C46" s="68" t="s">
        <v>394</v>
      </c>
      <c r="D46" s="68" t="s">
        <v>394</v>
      </c>
      <c r="E46" s="68" t="s">
        <v>394</v>
      </c>
      <c r="F46" s="68" t="s">
        <v>394</v>
      </c>
      <c r="G46" s="68" t="s">
        <v>394</v>
      </c>
      <c r="H46" s="68" t="s">
        <v>394</v>
      </c>
      <c r="I46" s="70" t="s">
        <v>535</v>
      </c>
      <c r="J46" s="68" t="s">
        <v>394</v>
      </c>
      <c r="K46" s="68" t="s">
        <v>394</v>
      </c>
      <c r="L46" s="68" t="s">
        <v>394</v>
      </c>
      <c r="M46" s="71" t="s">
        <v>536</v>
      </c>
    </row>
    <row r="47" spans="1:13" x14ac:dyDescent="0.35">
      <c r="A47" s="68" t="s">
        <v>394</v>
      </c>
      <c r="B47" s="68" t="s">
        <v>394</v>
      </c>
      <c r="C47" s="68" t="s">
        <v>394</v>
      </c>
      <c r="D47" s="68" t="s">
        <v>394</v>
      </c>
      <c r="E47" s="68" t="s">
        <v>394</v>
      </c>
      <c r="F47" s="68" t="s">
        <v>394</v>
      </c>
      <c r="G47" s="68" t="s">
        <v>394</v>
      </c>
      <c r="H47" s="68" t="s">
        <v>394</v>
      </c>
      <c r="I47" s="70" t="s">
        <v>444</v>
      </c>
      <c r="J47" s="68" t="s">
        <v>394</v>
      </c>
      <c r="K47" s="68" t="s">
        <v>394</v>
      </c>
      <c r="L47" s="68" t="s">
        <v>394</v>
      </c>
      <c r="M47" s="71" t="s">
        <v>537</v>
      </c>
    </row>
    <row r="48" spans="1:13" ht="26" x14ac:dyDescent="0.35">
      <c r="A48" s="68" t="s">
        <v>394</v>
      </c>
      <c r="B48" s="68" t="s">
        <v>394</v>
      </c>
      <c r="C48" s="68" t="s">
        <v>394</v>
      </c>
      <c r="D48" s="68" t="s">
        <v>394</v>
      </c>
      <c r="E48" s="68" t="s">
        <v>394</v>
      </c>
      <c r="F48" s="68" t="s">
        <v>394</v>
      </c>
      <c r="G48" s="68" t="s">
        <v>394</v>
      </c>
      <c r="H48" s="68" t="s">
        <v>394</v>
      </c>
      <c r="I48" s="70" t="s">
        <v>538</v>
      </c>
      <c r="J48" s="68" t="s">
        <v>394</v>
      </c>
      <c r="K48" s="68" t="s">
        <v>394</v>
      </c>
      <c r="L48" s="68" t="s">
        <v>394</v>
      </c>
      <c r="M48" s="82"/>
    </row>
    <row r="49" spans="1:13" ht="26" x14ac:dyDescent="0.35">
      <c r="A49" s="68" t="s">
        <v>394</v>
      </c>
      <c r="B49" s="68" t="s">
        <v>394</v>
      </c>
      <c r="C49" s="68" t="s">
        <v>394</v>
      </c>
      <c r="D49" s="68" t="s">
        <v>394</v>
      </c>
      <c r="E49" s="68" t="s">
        <v>394</v>
      </c>
      <c r="F49" s="68" t="s">
        <v>394</v>
      </c>
      <c r="G49" s="68" t="s">
        <v>394</v>
      </c>
      <c r="H49" s="68" t="s">
        <v>394</v>
      </c>
      <c r="I49" s="70" t="s">
        <v>539</v>
      </c>
      <c r="J49" s="68" t="s">
        <v>394</v>
      </c>
      <c r="K49" s="68" t="s">
        <v>394</v>
      </c>
      <c r="L49" s="68" t="s">
        <v>394</v>
      </c>
      <c r="M49" s="83" t="s">
        <v>540</v>
      </c>
    </row>
    <row r="50" spans="1:13" x14ac:dyDescent="0.35">
      <c r="A50" s="68" t="s">
        <v>394</v>
      </c>
      <c r="B50" s="68" t="s">
        <v>394</v>
      </c>
      <c r="C50" s="68" t="s">
        <v>394</v>
      </c>
      <c r="D50" s="68" t="s">
        <v>394</v>
      </c>
      <c r="E50" s="68" t="s">
        <v>394</v>
      </c>
      <c r="F50" s="68" t="s">
        <v>394</v>
      </c>
      <c r="G50" s="68" t="s">
        <v>394</v>
      </c>
      <c r="H50" s="68" t="s">
        <v>394</v>
      </c>
      <c r="I50" s="70" t="s">
        <v>456</v>
      </c>
      <c r="J50" s="68" t="s">
        <v>394</v>
      </c>
      <c r="K50" s="68" t="s">
        <v>394</v>
      </c>
      <c r="L50" s="68" t="s">
        <v>394</v>
      </c>
      <c r="M50" s="82" t="s">
        <v>541</v>
      </c>
    </row>
    <row r="51" spans="1:13" x14ac:dyDescent="0.35">
      <c r="A51" s="68" t="s">
        <v>394</v>
      </c>
      <c r="B51" s="68" t="s">
        <v>394</v>
      </c>
      <c r="C51" s="68" t="s">
        <v>394</v>
      </c>
      <c r="D51" s="68" t="s">
        <v>394</v>
      </c>
      <c r="E51" s="68" t="s">
        <v>394</v>
      </c>
      <c r="F51" s="68" t="s">
        <v>394</v>
      </c>
      <c r="G51" s="68" t="s">
        <v>394</v>
      </c>
      <c r="H51" s="68" t="s">
        <v>394</v>
      </c>
      <c r="I51" s="70" t="s">
        <v>542</v>
      </c>
      <c r="J51" s="68" t="s">
        <v>394</v>
      </c>
      <c r="K51" s="68" t="s">
        <v>394</v>
      </c>
      <c r="L51" s="68" t="s">
        <v>394</v>
      </c>
      <c r="M51" s="82" t="s">
        <v>543</v>
      </c>
    </row>
    <row r="52" spans="1:13" x14ac:dyDescent="0.35">
      <c r="A52" s="68" t="s">
        <v>394</v>
      </c>
      <c r="B52" s="68" t="s">
        <v>394</v>
      </c>
      <c r="C52" s="68" t="s">
        <v>394</v>
      </c>
      <c r="D52" s="68" t="s">
        <v>394</v>
      </c>
      <c r="E52" s="68" t="s">
        <v>394</v>
      </c>
      <c r="F52" s="68" t="s">
        <v>394</v>
      </c>
      <c r="G52" s="68" t="s">
        <v>394</v>
      </c>
      <c r="H52" s="68" t="s">
        <v>394</v>
      </c>
      <c r="I52" s="70" t="s">
        <v>544</v>
      </c>
      <c r="J52" s="68" t="s">
        <v>394</v>
      </c>
      <c r="K52" s="68" t="s">
        <v>394</v>
      </c>
      <c r="L52" s="68" t="s">
        <v>394</v>
      </c>
      <c r="M52" s="82" t="s">
        <v>545</v>
      </c>
    </row>
    <row r="53" spans="1:13" x14ac:dyDescent="0.35">
      <c r="A53" s="68" t="s">
        <v>394</v>
      </c>
      <c r="B53" s="68" t="s">
        <v>394</v>
      </c>
      <c r="C53" s="68" t="s">
        <v>394</v>
      </c>
      <c r="D53" s="68" t="s">
        <v>394</v>
      </c>
      <c r="E53" s="68" t="s">
        <v>394</v>
      </c>
      <c r="F53" s="68" t="s">
        <v>394</v>
      </c>
      <c r="G53" s="68" t="s">
        <v>394</v>
      </c>
      <c r="H53" s="68" t="s">
        <v>394</v>
      </c>
      <c r="I53" s="70" t="s">
        <v>546</v>
      </c>
      <c r="J53" s="68" t="s">
        <v>394</v>
      </c>
      <c r="K53" s="68" t="s">
        <v>394</v>
      </c>
      <c r="L53" s="68" t="s">
        <v>394</v>
      </c>
      <c r="M53" s="82" t="s">
        <v>547</v>
      </c>
    </row>
    <row r="54" spans="1:13" x14ac:dyDescent="0.35">
      <c r="A54" s="68" t="s">
        <v>394</v>
      </c>
      <c r="B54" s="68" t="s">
        <v>394</v>
      </c>
      <c r="C54" s="68" t="s">
        <v>394</v>
      </c>
      <c r="D54" s="68" t="s">
        <v>394</v>
      </c>
      <c r="E54" s="68" t="s">
        <v>394</v>
      </c>
      <c r="F54" s="68" t="s">
        <v>394</v>
      </c>
      <c r="G54" s="68" t="s">
        <v>394</v>
      </c>
      <c r="H54" s="68" t="s">
        <v>394</v>
      </c>
      <c r="I54" s="70" t="s">
        <v>548</v>
      </c>
      <c r="J54" s="68" t="s">
        <v>394</v>
      </c>
      <c r="K54" s="68" t="s">
        <v>394</v>
      </c>
      <c r="L54" s="68" t="s">
        <v>394</v>
      </c>
      <c r="M54" s="82" t="s">
        <v>549</v>
      </c>
    </row>
    <row r="55" spans="1:13" x14ac:dyDescent="0.35">
      <c r="A55" s="68" t="s">
        <v>394</v>
      </c>
      <c r="B55" s="68" t="s">
        <v>394</v>
      </c>
      <c r="C55" s="68" t="s">
        <v>394</v>
      </c>
      <c r="D55" s="68" t="s">
        <v>394</v>
      </c>
      <c r="E55" s="68" t="s">
        <v>394</v>
      </c>
      <c r="F55" s="68" t="s">
        <v>394</v>
      </c>
      <c r="G55" s="68" t="s">
        <v>394</v>
      </c>
      <c r="H55" s="68" t="s">
        <v>394</v>
      </c>
      <c r="I55" s="70" t="s">
        <v>550</v>
      </c>
      <c r="J55" s="68" t="s">
        <v>394</v>
      </c>
      <c r="K55" s="68" t="s">
        <v>394</v>
      </c>
      <c r="L55" s="68" t="s">
        <v>394</v>
      </c>
      <c r="M55" s="82" t="s">
        <v>551</v>
      </c>
    </row>
    <row r="56" spans="1:13" x14ac:dyDescent="0.35">
      <c r="A56" s="68" t="s">
        <v>394</v>
      </c>
      <c r="B56" s="68" t="s">
        <v>394</v>
      </c>
      <c r="C56" s="68" t="s">
        <v>394</v>
      </c>
      <c r="D56" s="68" t="s">
        <v>394</v>
      </c>
      <c r="E56" s="84" t="s">
        <v>394</v>
      </c>
      <c r="F56" s="68" t="s">
        <v>394</v>
      </c>
      <c r="G56" s="68" t="s">
        <v>394</v>
      </c>
      <c r="H56" s="68" t="s">
        <v>394</v>
      </c>
      <c r="I56" s="70" t="s">
        <v>552</v>
      </c>
      <c r="J56" s="68" t="s">
        <v>394</v>
      </c>
      <c r="K56" s="68" t="s">
        <v>394</v>
      </c>
      <c r="L56" s="68" t="s">
        <v>394</v>
      </c>
      <c r="M56" s="82" t="s">
        <v>553</v>
      </c>
    </row>
    <row r="57" spans="1:13" ht="26" x14ac:dyDescent="0.35">
      <c r="A57" s="68" t="s">
        <v>394</v>
      </c>
      <c r="B57" s="68" t="s">
        <v>394</v>
      </c>
      <c r="C57" s="68" t="s">
        <v>394</v>
      </c>
      <c r="D57" s="68" t="s">
        <v>394</v>
      </c>
      <c r="E57" s="84" t="s">
        <v>394</v>
      </c>
      <c r="F57" s="68" t="s">
        <v>394</v>
      </c>
      <c r="G57" s="68" t="s">
        <v>394</v>
      </c>
      <c r="H57" s="68" t="s">
        <v>394</v>
      </c>
      <c r="I57" s="70" t="s">
        <v>554</v>
      </c>
      <c r="J57" s="68" t="s">
        <v>394</v>
      </c>
      <c r="K57" s="68" t="s">
        <v>394</v>
      </c>
      <c r="L57" s="68" t="s">
        <v>394</v>
      </c>
      <c r="M57" s="82" t="s">
        <v>555</v>
      </c>
    </row>
    <row r="58" spans="1:13" ht="26" x14ac:dyDescent="0.35">
      <c r="A58" s="68" t="s">
        <v>394</v>
      </c>
      <c r="B58" s="68" t="s">
        <v>394</v>
      </c>
      <c r="C58" s="68" t="s">
        <v>394</v>
      </c>
      <c r="D58" s="68" t="s">
        <v>394</v>
      </c>
      <c r="E58" s="84" t="s">
        <v>394</v>
      </c>
      <c r="F58" s="68" t="s">
        <v>394</v>
      </c>
      <c r="G58" s="68" t="s">
        <v>394</v>
      </c>
      <c r="H58" s="68" t="s">
        <v>394</v>
      </c>
      <c r="I58" s="70" t="s">
        <v>556</v>
      </c>
      <c r="J58" s="68" t="s">
        <v>394</v>
      </c>
      <c r="K58" s="68" t="s">
        <v>394</v>
      </c>
      <c r="L58" s="68" t="s">
        <v>394</v>
      </c>
      <c r="M58" s="82" t="s">
        <v>557</v>
      </c>
    </row>
    <row r="59" spans="1:13" x14ac:dyDescent="0.35">
      <c r="A59" s="68" t="s">
        <v>394</v>
      </c>
      <c r="B59" s="68" t="s">
        <v>394</v>
      </c>
      <c r="C59" s="68" t="s">
        <v>394</v>
      </c>
      <c r="D59" s="68" t="s">
        <v>394</v>
      </c>
      <c r="E59" s="84" t="s">
        <v>394</v>
      </c>
      <c r="F59" s="68" t="s">
        <v>394</v>
      </c>
      <c r="G59" s="68" t="s">
        <v>394</v>
      </c>
      <c r="H59" s="68" t="s">
        <v>394</v>
      </c>
      <c r="I59" s="70" t="s">
        <v>558</v>
      </c>
      <c r="J59" s="68" t="s">
        <v>394</v>
      </c>
      <c r="K59" s="68" t="s">
        <v>394</v>
      </c>
      <c r="L59" s="68" t="s">
        <v>394</v>
      </c>
      <c r="M59" s="71" t="s">
        <v>559</v>
      </c>
    </row>
    <row r="60" spans="1:13" x14ac:dyDescent="0.35">
      <c r="A60" s="68" t="s">
        <v>394</v>
      </c>
      <c r="B60" s="68" t="s">
        <v>394</v>
      </c>
      <c r="C60" s="68" t="s">
        <v>394</v>
      </c>
      <c r="D60" s="68" t="s">
        <v>394</v>
      </c>
      <c r="E60" s="84" t="s">
        <v>394</v>
      </c>
      <c r="F60" s="68" t="s">
        <v>394</v>
      </c>
      <c r="G60" s="68" t="s">
        <v>394</v>
      </c>
      <c r="H60" s="68" t="s">
        <v>394</v>
      </c>
      <c r="I60" s="70" t="s">
        <v>560</v>
      </c>
      <c r="J60" s="68" t="s">
        <v>394</v>
      </c>
      <c r="K60" s="68" t="s">
        <v>394</v>
      </c>
      <c r="L60" s="68" t="s">
        <v>394</v>
      </c>
      <c r="M60" s="71" t="s">
        <v>561</v>
      </c>
    </row>
    <row r="61" spans="1:13" x14ac:dyDescent="0.35">
      <c r="A61" s="68" t="s">
        <v>394</v>
      </c>
      <c r="B61" s="68" t="s">
        <v>394</v>
      </c>
      <c r="C61" s="68" t="s">
        <v>394</v>
      </c>
      <c r="D61" s="68" t="s">
        <v>394</v>
      </c>
      <c r="E61" s="84" t="s">
        <v>394</v>
      </c>
      <c r="F61" s="68" t="s">
        <v>394</v>
      </c>
      <c r="G61" s="68" t="s">
        <v>394</v>
      </c>
      <c r="H61" s="68" t="s">
        <v>394</v>
      </c>
      <c r="I61" s="70" t="s">
        <v>562</v>
      </c>
      <c r="J61" s="68" t="s">
        <v>394</v>
      </c>
      <c r="K61" s="68" t="s">
        <v>394</v>
      </c>
      <c r="L61" s="68" t="s">
        <v>394</v>
      </c>
      <c r="M61" s="71" t="s">
        <v>563</v>
      </c>
    </row>
    <row r="62" spans="1:13" ht="26" x14ac:dyDescent="0.35">
      <c r="A62" s="68" t="s">
        <v>394</v>
      </c>
      <c r="B62" s="68" t="s">
        <v>394</v>
      </c>
      <c r="C62" s="68" t="s">
        <v>394</v>
      </c>
      <c r="D62" s="68" t="s">
        <v>394</v>
      </c>
      <c r="E62" s="84" t="s">
        <v>394</v>
      </c>
      <c r="F62" s="68" t="s">
        <v>394</v>
      </c>
      <c r="G62" s="68" t="s">
        <v>394</v>
      </c>
      <c r="H62" s="68" t="s">
        <v>394</v>
      </c>
      <c r="I62" s="70" t="s">
        <v>564</v>
      </c>
      <c r="J62" s="68" t="s">
        <v>394</v>
      </c>
      <c r="K62" s="68" t="s">
        <v>394</v>
      </c>
      <c r="L62" s="68" t="s">
        <v>394</v>
      </c>
      <c r="M62" s="71" t="s">
        <v>565</v>
      </c>
    </row>
    <row r="63" spans="1:13" x14ac:dyDescent="0.35">
      <c r="A63" s="68" t="s">
        <v>394</v>
      </c>
      <c r="B63" s="68" t="s">
        <v>394</v>
      </c>
      <c r="C63" s="68" t="s">
        <v>394</v>
      </c>
      <c r="D63" s="68" t="s">
        <v>394</v>
      </c>
      <c r="E63" s="84" t="s">
        <v>394</v>
      </c>
      <c r="F63" s="68" t="s">
        <v>394</v>
      </c>
      <c r="G63" s="68" t="s">
        <v>394</v>
      </c>
      <c r="H63" s="68" t="s">
        <v>394</v>
      </c>
      <c r="I63" s="70" t="s">
        <v>566</v>
      </c>
      <c r="J63" s="68" t="s">
        <v>394</v>
      </c>
      <c r="K63" s="68" t="s">
        <v>394</v>
      </c>
      <c r="L63" s="68" t="s">
        <v>394</v>
      </c>
      <c r="M63" s="71" t="s">
        <v>567</v>
      </c>
    </row>
    <row r="64" spans="1:13" x14ac:dyDescent="0.35">
      <c r="A64" s="68" t="s">
        <v>394</v>
      </c>
      <c r="B64" s="68" t="s">
        <v>394</v>
      </c>
      <c r="C64" s="68" t="s">
        <v>394</v>
      </c>
      <c r="D64" s="68" t="s">
        <v>394</v>
      </c>
      <c r="E64" s="84" t="s">
        <v>394</v>
      </c>
      <c r="F64" s="68" t="s">
        <v>394</v>
      </c>
      <c r="G64" s="68" t="s">
        <v>394</v>
      </c>
      <c r="H64" s="68" t="s">
        <v>394</v>
      </c>
      <c r="I64" s="70" t="s">
        <v>568</v>
      </c>
      <c r="J64" s="68" t="s">
        <v>394</v>
      </c>
      <c r="K64" s="68" t="s">
        <v>394</v>
      </c>
      <c r="L64" s="68" t="s">
        <v>394</v>
      </c>
      <c r="M64" s="71" t="s">
        <v>569</v>
      </c>
    </row>
    <row r="65" spans="1:13" x14ac:dyDescent="0.35">
      <c r="A65" s="68" t="s">
        <v>394</v>
      </c>
      <c r="B65" s="68" t="s">
        <v>394</v>
      </c>
      <c r="C65" s="68" t="s">
        <v>394</v>
      </c>
      <c r="D65" s="68" t="s">
        <v>394</v>
      </c>
      <c r="E65" s="84" t="s">
        <v>394</v>
      </c>
      <c r="F65" s="68" t="s">
        <v>394</v>
      </c>
      <c r="G65" s="68" t="s">
        <v>394</v>
      </c>
      <c r="H65" s="68" t="s">
        <v>394</v>
      </c>
      <c r="I65" s="70" t="s">
        <v>570</v>
      </c>
      <c r="J65" s="68" t="s">
        <v>394</v>
      </c>
      <c r="K65" s="68" t="s">
        <v>394</v>
      </c>
      <c r="L65" s="68" t="s">
        <v>394</v>
      </c>
      <c r="M65" s="85"/>
    </row>
    <row r="66" spans="1:13" x14ac:dyDescent="0.35">
      <c r="A66" s="68" t="s">
        <v>394</v>
      </c>
      <c r="B66" s="68" t="s">
        <v>394</v>
      </c>
      <c r="C66" s="68" t="s">
        <v>394</v>
      </c>
      <c r="D66" s="68" t="s">
        <v>394</v>
      </c>
      <c r="E66" s="84" t="s">
        <v>394</v>
      </c>
      <c r="F66" s="68" t="s">
        <v>394</v>
      </c>
      <c r="G66" s="68" t="s">
        <v>394</v>
      </c>
      <c r="H66" s="68" t="s">
        <v>394</v>
      </c>
      <c r="I66" s="73" t="s">
        <v>571</v>
      </c>
      <c r="J66" s="68" t="s">
        <v>394</v>
      </c>
      <c r="K66" s="68" t="s">
        <v>394</v>
      </c>
      <c r="L66" s="68" t="s">
        <v>394</v>
      </c>
      <c r="M66" s="85"/>
    </row>
    <row r="67" spans="1:13" x14ac:dyDescent="0.35">
      <c r="A67" s="68"/>
      <c r="B67" s="68"/>
      <c r="C67" s="68"/>
      <c r="D67" s="68"/>
      <c r="E67" s="84"/>
      <c r="F67" s="68"/>
      <c r="G67" s="68"/>
      <c r="H67" s="68"/>
      <c r="I67" s="68"/>
      <c r="J67" s="68"/>
      <c r="K67" s="68"/>
      <c r="L67" s="68"/>
      <c r="M67" s="85" t="s">
        <v>572</v>
      </c>
    </row>
    <row r="68" spans="1:13" ht="13.5" thickBot="1" x14ac:dyDescent="0.4">
      <c r="A68" s="86"/>
      <c r="B68" s="86"/>
      <c r="C68" s="86"/>
      <c r="D68" s="86"/>
      <c r="E68" s="86"/>
      <c r="F68" s="86"/>
      <c r="G68" s="86"/>
      <c r="H68" s="86"/>
      <c r="I68" s="86"/>
      <c r="J68" s="86"/>
      <c r="K68" s="86"/>
      <c r="L68" s="68"/>
      <c r="M68" s="85" t="s">
        <v>573</v>
      </c>
    </row>
    <row r="69" spans="1:13" x14ac:dyDescent="0.35">
      <c r="A69" s="87"/>
      <c r="B69" s="87"/>
      <c r="C69" s="87"/>
      <c r="D69" s="87"/>
      <c r="E69" s="87"/>
      <c r="F69" s="87"/>
      <c r="G69" s="87"/>
      <c r="H69" s="87"/>
      <c r="I69" s="87"/>
      <c r="J69" s="87"/>
      <c r="K69" s="87"/>
      <c r="L69" s="68"/>
      <c r="M69" s="85" t="s">
        <v>574</v>
      </c>
    </row>
    <row r="70" spans="1:13" x14ac:dyDescent="0.35">
      <c r="A70" s="87"/>
      <c r="B70" s="87"/>
      <c r="C70" s="87"/>
      <c r="D70" s="87"/>
      <c r="E70" s="87"/>
      <c r="F70" s="87"/>
      <c r="G70" s="87"/>
      <c r="H70" s="87"/>
      <c r="I70" s="87"/>
      <c r="J70" s="87"/>
      <c r="K70" s="87"/>
      <c r="L70" s="87"/>
      <c r="M70" s="85" t="s">
        <v>575</v>
      </c>
    </row>
  </sheetData>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6D9C-28B4-4D63-BF9C-86A717F7F8B6}">
  <dimension ref="B1:G8"/>
  <sheetViews>
    <sheetView workbookViewId="0"/>
  </sheetViews>
  <sheetFormatPr defaultColWidth="9.81640625" defaultRowHeight="14.5" x14ac:dyDescent="0.35"/>
  <cols>
    <col min="1" max="1" width="3.54296875" style="92" customWidth="1"/>
    <col min="2" max="2" width="19.6328125" style="92" bestFit="1" customWidth="1"/>
    <col min="3" max="3" width="18.26953125" style="92" bestFit="1" customWidth="1"/>
    <col min="4" max="4" width="21" style="92" bestFit="1" customWidth="1"/>
    <col min="5" max="5" width="16.7265625" style="92" customWidth="1"/>
    <col min="6" max="6" width="23" style="92" bestFit="1" customWidth="1"/>
    <col min="7" max="7" width="13.36328125" style="92" customWidth="1"/>
    <col min="8" max="16384" width="9.81640625" style="92"/>
  </cols>
  <sheetData>
    <row r="1" spans="2:7" ht="50.15" customHeight="1" x14ac:dyDescent="0.35">
      <c r="B1" s="89" t="s">
        <v>576</v>
      </c>
      <c r="C1" s="90"/>
      <c r="D1" s="90"/>
      <c r="E1" s="90"/>
      <c r="F1" s="91"/>
    </row>
    <row r="2" spans="2:7" s="97" customFormat="1" ht="50.15" customHeight="1" x14ac:dyDescent="0.35">
      <c r="B2" s="93" t="s">
        <v>577</v>
      </c>
      <c r="C2" s="94" t="s">
        <v>578</v>
      </c>
      <c r="D2" s="94" t="s">
        <v>579</v>
      </c>
      <c r="E2" s="94" t="s">
        <v>580</v>
      </c>
      <c r="F2" s="95" t="s">
        <v>581</v>
      </c>
      <c r="G2" s="96" t="s">
        <v>582</v>
      </c>
    </row>
    <row r="3" spans="2:7" s="97" customFormat="1" ht="23" thickBot="1" x14ac:dyDescent="0.4">
      <c r="B3" s="98">
        <v>44249</v>
      </c>
      <c r="C3" s="98">
        <v>44250</v>
      </c>
      <c r="D3" s="98">
        <v>44251</v>
      </c>
      <c r="E3" s="98">
        <v>44252</v>
      </c>
      <c r="F3" s="98">
        <v>44253</v>
      </c>
      <c r="G3" s="99"/>
    </row>
    <row r="4" spans="2:7" s="104" customFormat="1" ht="50.15" customHeight="1" x14ac:dyDescent="0.35">
      <c r="B4" s="100" t="s">
        <v>378</v>
      </c>
      <c r="C4" s="101" t="s">
        <v>583</v>
      </c>
      <c r="D4" s="102" t="s">
        <v>68</v>
      </c>
      <c r="E4" s="101" t="s">
        <v>584</v>
      </c>
      <c r="F4" s="103"/>
      <c r="G4" s="99"/>
    </row>
    <row r="5" spans="2:7" s="104" customFormat="1" ht="50.15" customHeight="1" x14ac:dyDescent="0.35">
      <c r="B5" s="105" t="s">
        <v>585</v>
      </c>
      <c r="C5" s="102" t="s">
        <v>586</v>
      </c>
      <c r="D5" s="101" t="s">
        <v>587</v>
      </c>
      <c r="E5" s="102" t="s">
        <v>588</v>
      </c>
      <c r="F5" s="106" t="s">
        <v>589</v>
      </c>
      <c r="G5" s="99"/>
    </row>
    <row r="6" spans="2:7" s="104" customFormat="1" ht="50.15" customHeight="1" x14ac:dyDescent="0.35">
      <c r="B6" s="100" t="s">
        <v>590</v>
      </c>
      <c r="C6" s="101" t="s">
        <v>591</v>
      </c>
      <c r="D6" s="102" t="s">
        <v>592</v>
      </c>
      <c r="E6" s="101"/>
      <c r="F6" s="106" t="s">
        <v>593</v>
      </c>
      <c r="G6" s="99"/>
    </row>
    <row r="7" spans="2:7" s="104" customFormat="1" ht="50.15" customHeight="1" thickBot="1" x14ac:dyDescent="0.4">
      <c r="B7" s="107"/>
      <c r="C7" s="108" t="s">
        <v>594</v>
      </c>
      <c r="D7" s="109"/>
      <c r="E7" s="108"/>
      <c r="F7" s="110" t="s">
        <v>595</v>
      </c>
      <c r="G7" s="99"/>
    </row>
    <row r="8" spans="2:7" ht="109.5" customHeight="1" thickBot="1" x14ac:dyDescent="0.5">
      <c r="B8" s="111" t="s">
        <v>596</v>
      </c>
      <c r="C8" s="112"/>
      <c r="D8" s="112"/>
      <c r="E8" s="112"/>
      <c r="F8" s="112"/>
      <c r="G8" s="113"/>
    </row>
  </sheetData>
  <mergeCells count="3">
    <mergeCell ref="B1:F1"/>
    <mergeCell ref="G2:G7"/>
    <mergeCell ref="B8:G8"/>
  </mergeCells>
  <printOptions horizontalCentered="1"/>
  <pageMargins left="0.23622047244094491" right="0.23622047244094491" top="0.74803149606299213" bottom="0.74803149606299213" header="0.31496062992125984" footer="0.31496062992125984"/>
  <pageSetup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C1822-9812-4562-9747-B121E03F4735}">
  <sheetPr>
    <pageSetUpPr fitToPage="1"/>
  </sheetPr>
  <dimension ref="A1:P33"/>
  <sheetViews>
    <sheetView tabSelected="1" topLeftCell="A21" zoomScale="80" zoomScaleNormal="80" workbookViewId="0">
      <selection activeCell="H7" sqref="H7"/>
    </sheetView>
  </sheetViews>
  <sheetFormatPr defaultColWidth="22.453125" defaultRowHeight="14.5" x14ac:dyDescent="0.35"/>
  <cols>
    <col min="1" max="1" width="22.453125" style="134"/>
    <col min="2" max="6" width="22.453125" style="115"/>
    <col min="7" max="7" width="17.81640625" style="115" bestFit="1" customWidth="1"/>
    <col min="8" max="8" width="18.36328125" style="115" bestFit="1" customWidth="1"/>
    <col min="9" max="16384" width="22.453125" style="115"/>
  </cols>
  <sheetData>
    <row r="1" spans="1:8" x14ac:dyDescent="0.35">
      <c r="A1" s="114" t="s">
        <v>597</v>
      </c>
      <c r="B1" s="114"/>
      <c r="C1" s="114"/>
      <c r="D1" s="114"/>
      <c r="E1" s="114"/>
      <c r="F1" s="114"/>
      <c r="G1" s="114"/>
      <c r="H1" s="114"/>
    </row>
    <row r="2" spans="1:8" x14ac:dyDescent="0.35">
      <c r="A2" s="116" t="s">
        <v>598</v>
      </c>
      <c r="B2" s="117" t="s">
        <v>265</v>
      </c>
      <c r="D2" s="118" t="s">
        <v>599</v>
      </c>
      <c r="E2" s="119" t="e">
        <f>VLOOKUP($B$2,[4]Datasheet!$B$65:$K$65,3,0)</f>
        <v>#N/A</v>
      </c>
      <c r="F2" s="120" t="s">
        <v>600</v>
      </c>
      <c r="H2" s="121">
        <f ca="1">NOW()</f>
        <v>46225.520828935187</v>
      </c>
    </row>
    <row r="3" spans="1:8" x14ac:dyDescent="0.35">
      <c r="A3" s="116" t="s">
        <v>601</v>
      </c>
      <c r="B3" s="122" t="e">
        <f>VLOOKUP(B$2,[4]Datasheet!$B$65:$K$65,2,0)</f>
        <v>#N/A</v>
      </c>
      <c r="C3" s="123" t="s">
        <v>602</v>
      </c>
      <c r="D3" s="118" t="s">
        <v>603</v>
      </c>
      <c r="E3" s="119"/>
      <c r="F3" s="119"/>
      <c r="H3" s="124">
        <f ca="1">H2+5</f>
        <v>46230.520828935187</v>
      </c>
    </row>
    <row r="4" spans="1:8" x14ac:dyDescent="0.35">
      <c r="A4" s="116" t="s">
        <v>604</v>
      </c>
      <c r="B4" s="125" t="e">
        <f>VLOOKUP($B$2,[4]Datasheet!$B$65:$K$65,5,FALSE)</f>
        <v>#N/A</v>
      </c>
      <c r="C4" s="125" t="e">
        <f>VLOOKUP($B$2,[4]Datasheet!$B$65:$K$65,6,FALSE)</f>
        <v>#N/A</v>
      </c>
      <c r="D4" s="118" t="s">
        <v>605</v>
      </c>
      <c r="E4" s="126" t="e">
        <f>VLOOKUP($B$2,[4]Datasheet!$B$65:$K$65,7,FALSE)</f>
        <v>#N/A</v>
      </c>
      <c r="F4" s="127"/>
      <c r="G4" s="123" t="s">
        <v>606</v>
      </c>
    </row>
    <row r="5" spans="1:8" x14ac:dyDescent="0.35">
      <c r="A5" s="116" t="s">
        <v>607</v>
      </c>
      <c r="B5" s="128"/>
      <c r="C5" s="117" t="e">
        <f>VLOOKUP($B$2,[4]Datasheet!$B$65:$K$65,7,0)</f>
        <v>#N/A</v>
      </c>
      <c r="D5" s="118" t="s">
        <v>605</v>
      </c>
      <c r="E5" s="126" t="e">
        <f>VLOOKUP($B$2,[4]Datasheet!$B$65:$K$65,8,FALSE)</f>
        <v>#N/A</v>
      </c>
      <c r="F5" s="127"/>
      <c r="G5" s="129" t="s">
        <v>608</v>
      </c>
    </row>
    <row r="6" spans="1:8" x14ac:dyDescent="0.35">
      <c r="A6" s="130" t="s">
        <v>609</v>
      </c>
      <c r="B6" s="131" t="s">
        <v>610</v>
      </c>
      <c r="C6" s="131"/>
      <c r="D6" s="132" t="s">
        <v>611</v>
      </c>
      <c r="E6" s="131" t="s">
        <v>612</v>
      </c>
      <c r="F6" s="131"/>
      <c r="G6" s="131"/>
    </row>
    <row r="7" spans="1:8" x14ac:dyDescent="0.35">
      <c r="A7" s="130" t="s">
        <v>613</v>
      </c>
      <c r="B7" s="131" t="s">
        <v>614</v>
      </c>
      <c r="C7" s="131"/>
      <c r="D7" s="131"/>
      <c r="E7" s="131"/>
      <c r="F7" s="131"/>
      <c r="G7" s="131"/>
    </row>
    <row r="8" spans="1:8" x14ac:dyDescent="0.35">
      <c r="A8" s="133" t="s">
        <v>615</v>
      </c>
      <c r="B8" s="131"/>
      <c r="C8" s="131"/>
      <c r="D8" s="131"/>
      <c r="E8" s="131"/>
      <c r="F8" s="131"/>
      <c r="G8" s="131"/>
    </row>
    <row r="10" spans="1:8" s="137" customFormat="1" x14ac:dyDescent="0.35">
      <c r="A10" s="135" t="s">
        <v>616</v>
      </c>
      <c r="B10" s="136" t="s">
        <v>617</v>
      </c>
      <c r="C10" s="136" t="s">
        <v>618</v>
      </c>
      <c r="D10" s="136" t="s">
        <v>619</v>
      </c>
      <c r="E10" s="136" t="s">
        <v>620</v>
      </c>
      <c r="F10" s="136" t="s">
        <v>621</v>
      </c>
      <c r="G10" s="136" t="s">
        <v>622</v>
      </c>
      <c r="H10" s="136" t="s">
        <v>623</v>
      </c>
    </row>
    <row r="11" spans="1:8" x14ac:dyDescent="0.35">
      <c r="A11" s="138" t="s">
        <v>624</v>
      </c>
      <c r="B11" s="127" t="s">
        <v>625</v>
      </c>
      <c r="C11" s="127" t="s">
        <v>625</v>
      </c>
      <c r="D11" s="129" t="s">
        <v>626</v>
      </c>
      <c r="E11" s="127" t="s">
        <v>625</v>
      </c>
      <c r="F11" s="127" t="s">
        <v>625</v>
      </c>
      <c r="G11" s="139" t="s">
        <v>627</v>
      </c>
      <c r="H11" s="139" t="s">
        <v>628</v>
      </c>
    </row>
    <row r="12" spans="1:8" ht="29" x14ac:dyDescent="0.35">
      <c r="A12" s="138" t="s">
        <v>629</v>
      </c>
      <c r="B12" s="120" t="s">
        <v>630</v>
      </c>
      <c r="C12" s="120" t="s">
        <v>630</v>
      </c>
      <c r="D12" s="120" t="s">
        <v>631</v>
      </c>
      <c r="E12" s="120" t="s">
        <v>630</v>
      </c>
      <c r="F12" s="120" t="s">
        <v>630</v>
      </c>
      <c r="G12" s="139"/>
      <c r="H12" s="139"/>
    </row>
    <row r="13" spans="1:8" s="141" customFormat="1" x14ac:dyDescent="0.35">
      <c r="A13" s="129"/>
      <c r="B13" s="140" t="s">
        <v>632</v>
      </c>
      <c r="C13" s="140" t="s">
        <v>632</v>
      </c>
      <c r="D13" s="140"/>
      <c r="E13" s="140" t="s">
        <v>632</v>
      </c>
      <c r="F13" s="140" t="s">
        <v>632</v>
      </c>
      <c r="G13" s="139"/>
      <c r="H13" s="139"/>
    </row>
    <row r="14" spans="1:8" x14ac:dyDescent="0.35">
      <c r="A14" s="142" t="s">
        <v>633</v>
      </c>
      <c r="B14" s="143" t="s">
        <v>634</v>
      </c>
      <c r="C14" s="143" t="s">
        <v>378</v>
      </c>
      <c r="D14" s="144" t="s">
        <v>635</v>
      </c>
      <c r="E14" s="143" t="s">
        <v>354</v>
      </c>
      <c r="F14" s="145" t="s">
        <v>636</v>
      </c>
      <c r="G14" s="139"/>
      <c r="H14" s="139"/>
    </row>
    <row r="15" spans="1:8" x14ac:dyDescent="0.35">
      <c r="A15" s="138" t="s">
        <v>637</v>
      </c>
      <c r="B15" s="146" t="s">
        <v>638</v>
      </c>
      <c r="C15" s="146" t="s">
        <v>639</v>
      </c>
      <c r="D15" s="146" t="s">
        <v>640</v>
      </c>
      <c r="E15" s="146" t="s">
        <v>641</v>
      </c>
      <c r="F15" s="147"/>
      <c r="G15" s="139"/>
      <c r="H15" s="139"/>
    </row>
    <row r="16" spans="1:8" x14ac:dyDescent="0.35">
      <c r="A16" s="148">
        <v>0.75</v>
      </c>
      <c r="B16" s="149">
        <f>CEILING(((HLOOKUP(B$14,$A$32:$P$33,2,FALSE))*$A$16),5)</f>
        <v>265</v>
      </c>
      <c r="C16" s="149">
        <f>CEILING(((HLOOKUP(C$14,$A$32:$P$33,2,FALSE))*$A$16),5)</f>
        <v>200</v>
      </c>
      <c r="D16" s="129" t="s">
        <v>642</v>
      </c>
      <c r="E16" s="149">
        <f>CEILING(((HLOOKUP(E$14,$A$32:$P$33,2,FALSE))*$A$16),5)</f>
        <v>135</v>
      </c>
      <c r="F16" s="150"/>
      <c r="G16" s="139"/>
      <c r="H16" s="139"/>
    </row>
    <row r="17" spans="1:16" s="134" customFormat="1" x14ac:dyDescent="0.35">
      <c r="A17" s="142" t="s">
        <v>633</v>
      </c>
      <c r="B17" s="151" t="s">
        <v>643</v>
      </c>
      <c r="C17" s="152" t="s">
        <v>644</v>
      </c>
      <c r="D17" s="153" t="s">
        <v>645</v>
      </c>
      <c r="E17" s="143" t="s">
        <v>53</v>
      </c>
      <c r="F17" s="154" t="s">
        <v>646</v>
      </c>
      <c r="G17" s="139"/>
      <c r="H17" s="139"/>
    </row>
    <row r="18" spans="1:16" ht="29" x14ac:dyDescent="0.35">
      <c r="A18" s="138" t="s">
        <v>637</v>
      </c>
      <c r="B18" s="155" t="s">
        <v>647</v>
      </c>
      <c r="C18" s="155" t="s">
        <v>648</v>
      </c>
      <c r="D18" s="153" t="s">
        <v>649</v>
      </c>
      <c r="E18" s="155" t="s">
        <v>650</v>
      </c>
      <c r="F18" s="156"/>
      <c r="G18" s="139"/>
      <c r="H18" s="139"/>
    </row>
    <row r="19" spans="1:16" s="134" customFormat="1" x14ac:dyDescent="0.35">
      <c r="A19" s="142" t="s">
        <v>633</v>
      </c>
      <c r="B19" s="157" t="s">
        <v>379</v>
      </c>
      <c r="C19" s="157" t="s">
        <v>651</v>
      </c>
      <c r="D19" s="153" t="s">
        <v>652</v>
      </c>
      <c r="E19" s="157" t="s">
        <v>451</v>
      </c>
      <c r="F19" s="158"/>
      <c r="G19" s="139"/>
      <c r="H19" s="139"/>
    </row>
    <row r="20" spans="1:16" s="134" customFormat="1" x14ac:dyDescent="0.35">
      <c r="A20" s="138" t="s">
        <v>637</v>
      </c>
      <c r="B20" s="138" t="s">
        <v>653</v>
      </c>
      <c r="C20" s="129" t="s">
        <v>654</v>
      </c>
      <c r="D20" s="153" t="s">
        <v>655</v>
      </c>
      <c r="E20" s="138" t="s">
        <v>656</v>
      </c>
      <c r="F20" s="145" t="s">
        <v>657</v>
      </c>
      <c r="G20" s="139"/>
      <c r="H20" s="139"/>
    </row>
    <row r="21" spans="1:16" ht="72.5" x14ac:dyDescent="0.35">
      <c r="A21" s="142" t="s">
        <v>633</v>
      </c>
      <c r="B21" s="159" t="s">
        <v>658</v>
      </c>
      <c r="C21" s="159" t="s">
        <v>659</v>
      </c>
      <c r="D21" s="160" t="s">
        <v>660</v>
      </c>
      <c r="E21" s="159" t="s">
        <v>661</v>
      </c>
      <c r="F21" s="150"/>
      <c r="G21" s="139"/>
      <c r="H21" s="139"/>
    </row>
    <row r="22" spans="1:16" ht="29" x14ac:dyDescent="0.35">
      <c r="A22" s="138" t="s">
        <v>637</v>
      </c>
      <c r="B22" s="161" t="s">
        <v>662</v>
      </c>
      <c r="C22" s="129" t="s">
        <v>663</v>
      </c>
      <c r="D22" s="153" t="s">
        <v>664</v>
      </c>
      <c r="E22" s="161" t="s">
        <v>665</v>
      </c>
      <c r="F22" s="145" t="s">
        <v>666</v>
      </c>
      <c r="G22" s="139"/>
      <c r="H22" s="139"/>
    </row>
    <row r="23" spans="1:16" x14ac:dyDescent="0.35">
      <c r="A23" s="142" t="s">
        <v>633</v>
      </c>
      <c r="B23" s="129" t="s">
        <v>667</v>
      </c>
      <c r="C23" s="127"/>
      <c r="D23" s="160" t="s">
        <v>668</v>
      </c>
      <c r="E23" s="129" t="s">
        <v>667</v>
      </c>
      <c r="F23" s="150"/>
      <c r="G23" s="139"/>
      <c r="H23" s="139"/>
    </row>
    <row r="24" spans="1:16" ht="43.5" x14ac:dyDescent="0.35">
      <c r="A24" s="138" t="s">
        <v>637</v>
      </c>
      <c r="B24" s="127" t="s">
        <v>669</v>
      </c>
      <c r="C24" s="127"/>
      <c r="D24" s="162" t="s">
        <v>670</v>
      </c>
      <c r="E24" s="120" t="s">
        <v>671</v>
      </c>
      <c r="F24" s="127"/>
      <c r="G24" s="139"/>
      <c r="H24" s="139"/>
    </row>
    <row r="25" spans="1:16" x14ac:dyDescent="0.35">
      <c r="A25" s="163" t="s">
        <v>672</v>
      </c>
      <c r="B25" s="164" t="s">
        <v>673</v>
      </c>
      <c r="C25" s="164"/>
      <c r="D25" s="165"/>
      <c r="E25" s="164" t="s">
        <v>673</v>
      </c>
      <c r="F25" s="164"/>
      <c r="G25" s="139"/>
      <c r="H25" s="139"/>
    </row>
    <row r="26" spans="1:16" ht="29" x14ac:dyDescent="0.35">
      <c r="A26" s="138" t="s">
        <v>674</v>
      </c>
      <c r="B26" s="120" t="s">
        <v>675</v>
      </c>
      <c r="C26" s="127" t="s">
        <v>676</v>
      </c>
      <c r="D26" s="165"/>
      <c r="E26" s="120" t="s">
        <v>675</v>
      </c>
      <c r="F26" s="127" t="s">
        <v>676</v>
      </c>
      <c r="G26" s="139"/>
      <c r="H26" s="139"/>
    </row>
    <row r="27" spans="1:16" ht="29" x14ac:dyDescent="0.35">
      <c r="A27" s="138"/>
      <c r="B27" s="159" t="s">
        <v>677</v>
      </c>
      <c r="C27" s="127" t="s">
        <v>678</v>
      </c>
      <c r="D27" s="127"/>
      <c r="E27" s="159" t="s">
        <v>679</v>
      </c>
      <c r="F27" s="127"/>
      <c r="G27" s="139"/>
      <c r="H27" s="139"/>
    </row>
    <row r="28" spans="1:16" x14ac:dyDescent="0.35">
      <c r="A28" s="138"/>
      <c r="B28" s="127" t="s">
        <v>680</v>
      </c>
      <c r="C28" s="166" t="s">
        <v>681</v>
      </c>
      <c r="D28" s="127"/>
      <c r="E28" s="166" t="s">
        <v>682</v>
      </c>
      <c r="F28" s="127"/>
      <c r="G28" s="139"/>
      <c r="H28" s="139"/>
    </row>
    <row r="29" spans="1:16" ht="58" x14ac:dyDescent="0.35">
      <c r="A29" s="127"/>
      <c r="B29" s="161" t="s">
        <v>682</v>
      </c>
      <c r="C29" s="166"/>
      <c r="D29" s="120"/>
      <c r="E29" s="166"/>
      <c r="F29" s="159" t="s">
        <v>681</v>
      </c>
      <c r="G29" s="139"/>
      <c r="H29" s="139"/>
    </row>
    <row r="30" spans="1:16" ht="58" x14ac:dyDescent="0.35">
      <c r="A30" s="138" t="s">
        <v>683</v>
      </c>
      <c r="B30" s="159" t="s">
        <v>684</v>
      </c>
      <c r="C30" s="159" t="s">
        <v>685</v>
      </c>
      <c r="D30" s="161" t="s">
        <v>626</v>
      </c>
      <c r="E30" s="159" t="s">
        <v>684</v>
      </c>
      <c r="F30" s="159" t="s">
        <v>685</v>
      </c>
      <c r="G30" s="139"/>
      <c r="H30" s="139"/>
    </row>
    <row r="32" spans="1:16" x14ac:dyDescent="0.35">
      <c r="A32" s="167" t="s">
        <v>53</v>
      </c>
      <c r="B32" s="168" t="s">
        <v>378</v>
      </c>
      <c r="C32" s="169" t="s">
        <v>73</v>
      </c>
      <c r="D32" s="170" t="s">
        <v>342</v>
      </c>
      <c r="E32" s="171" t="s">
        <v>634</v>
      </c>
      <c r="F32" s="171" t="s">
        <v>686</v>
      </c>
      <c r="G32" s="171" t="s">
        <v>687</v>
      </c>
      <c r="H32" s="172" t="s">
        <v>422</v>
      </c>
      <c r="I32" s="167" t="s">
        <v>458</v>
      </c>
      <c r="J32" s="168" t="s">
        <v>390</v>
      </c>
      <c r="K32" s="171" t="s">
        <v>344</v>
      </c>
      <c r="L32" s="171" t="s">
        <v>354</v>
      </c>
      <c r="M32" s="172" t="s">
        <v>367</v>
      </c>
      <c r="N32" s="173" t="s">
        <v>380</v>
      </c>
      <c r="O32" s="167" t="s">
        <v>391</v>
      </c>
      <c r="P32" s="173" t="s">
        <v>70</v>
      </c>
    </row>
    <row r="33" spans="1:16" x14ac:dyDescent="0.35">
      <c r="A33" s="174">
        <f>(VLOOKUP($B$2,[4]MaxMaster!$B$2:$H$27,3,FALSE))</f>
        <v>205</v>
      </c>
      <c r="B33" s="174">
        <f>(VLOOKUP($B$2,[4]MaxMaster!$B$2:$H$27,2,FALSE))</f>
        <v>265</v>
      </c>
      <c r="C33" s="174">
        <f>CEILING(A33*0.8,5)</f>
        <v>165</v>
      </c>
      <c r="D33" s="174">
        <f>CEILING(B33*0.8,5)</f>
        <v>215</v>
      </c>
      <c r="E33" s="174">
        <f>(VLOOKUP($B$2,[4]MaxMaster!$B$2:$H$27,4,FALSE))</f>
        <v>350</v>
      </c>
      <c r="F33" s="174">
        <f>(VLOOKUP($B$2,[4]MaxMaster!$B$2:$H$27,4,FALSE))</f>
        <v>350</v>
      </c>
      <c r="G33" s="174">
        <f>(VLOOKUP($B$2,[4]MaxMaster!$B$2:$H$27,4,FALSE))</f>
        <v>350</v>
      </c>
      <c r="H33" s="174">
        <f>CEILING($E$33*0.6,5)</f>
        <v>210</v>
      </c>
      <c r="I33" s="174">
        <f>CEILING($E$33*0.75,5)</f>
        <v>265</v>
      </c>
      <c r="J33" s="174">
        <f>CEILING($E$33*1.25,5)</f>
        <v>440</v>
      </c>
      <c r="K33" s="174">
        <f>(VLOOKUP($B$2,[4]MaxMaster!$B$2:$H$27,7,FALSE))</f>
        <v>280</v>
      </c>
      <c r="L33" s="174">
        <f>(VLOOKUP($B$2,[4]MaxMaster!$B$2:$H$27,5,FALSE))</f>
        <v>175</v>
      </c>
      <c r="M33" s="174">
        <f>(VLOOKUP($B$2,[4]MaxMaster!$B$2:$H$27,6,FALSE))</f>
        <v>115</v>
      </c>
      <c r="N33" s="174">
        <f>CEILING($L$33*1.15,5)</f>
        <v>205</v>
      </c>
      <c r="O33" s="174">
        <f>CEILING($M$33*1.15,5)</f>
        <v>135</v>
      </c>
      <c r="P33" s="174">
        <f>CEILING($E$33*0.8,5)</f>
        <v>280</v>
      </c>
    </row>
  </sheetData>
  <mergeCells count="14">
    <mergeCell ref="F22:F23"/>
    <mergeCell ref="D24:D26"/>
    <mergeCell ref="C28:C29"/>
    <mergeCell ref="E28:E29"/>
    <mergeCell ref="A1:H1"/>
    <mergeCell ref="B6:C6"/>
    <mergeCell ref="E6:G6"/>
    <mergeCell ref="B7:G7"/>
    <mergeCell ref="B8:G8"/>
    <mergeCell ref="G11:G30"/>
    <mergeCell ref="H11:H30"/>
    <mergeCell ref="F14:F16"/>
    <mergeCell ref="F17:F19"/>
    <mergeCell ref="F20:F21"/>
  </mergeCells>
  <printOptions horizontalCentered="1"/>
  <pageMargins left="0.25" right="0.25" top="0.26" bottom="0.28000000000000003" header="0.17" footer="7.0000000000000007E-2"/>
  <pageSetup scale="66" fitToWidth="0" orientation="landscape"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9</vt:i4>
      </vt:variant>
    </vt:vector>
  </HeadingPairs>
  <TitlesOfParts>
    <vt:vector size="25" baseType="lpstr">
      <vt:lpstr>Instructions</vt:lpstr>
      <vt:lpstr>Lists</vt:lpstr>
      <vt:lpstr>Athletes</vt:lpstr>
      <vt:lpstr>Annual Plan</vt:lpstr>
      <vt:lpstr>Meet Schedule</vt:lpstr>
      <vt:lpstr>Weekly Results</vt:lpstr>
      <vt:lpstr>Athlete Report</vt:lpstr>
      <vt:lpstr>Monthly Summary</vt:lpstr>
      <vt:lpstr>Squad Overview</vt:lpstr>
      <vt:lpstr>Set % Engine</vt:lpstr>
      <vt:lpstr>Max Master</vt:lpstr>
      <vt:lpstr>Workout Generator</vt:lpstr>
      <vt:lpstr>Group Weekly Plan</vt:lpstr>
      <vt:lpstr>LIFTS</vt:lpstr>
      <vt:lpstr>TestWeek Sched</vt:lpstr>
      <vt:lpstr>Sample format</vt:lpstr>
      <vt:lpstr>AthleteIDs</vt:lpstr>
      <vt:lpstr>EventsList</vt:lpstr>
      <vt:lpstr>LiftsList</vt:lpstr>
      <vt:lpstr>MaxNames</vt:lpstr>
      <vt:lpstr>'Sample format'!Print_Area</vt:lpstr>
      <vt:lpstr>'TestWeek Sched'!Print_Area</vt:lpstr>
      <vt:lpstr>StatusList</vt:lpstr>
      <vt:lpstr>TeamsList</vt:lpstr>
      <vt:lpstr>YNList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 Michael Vassell</cp:lastModifiedBy>
  <cp:revision>0</cp:revision>
  <dcterms:created xsi:type="dcterms:W3CDTF">2026-07-03T17:26:39Z</dcterms:created>
  <dcterms:modified xsi:type="dcterms:W3CDTF">2026-07-22T17:30:39Z</dcterms:modified>
  <dc:language>en-US</dc:language>
</cp:coreProperties>
</file>